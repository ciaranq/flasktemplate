
<file path=[Content_Types].xml><?xml version="1.0" encoding="utf-8"?>
<Types xmlns="http://schemas.openxmlformats.org/package/2006/content-types">
  <Default Extension="xml" ContentType="application/xml"/>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5" lowestEdited="5" rupBuild="24426"/>
  <workbookPr showInkAnnotation="0" autoCompressPictures="0"/>
  <bookViews>
    <workbookView xWindow="0" yWindow="0" windowWidth="25600" windowHeight="16060" tabRatio="500" activeTab="4"/>
  </bookViews>
  <sheets>
    <sheet name="Sheet1" sheetId="1" r:id="rId1"/>
    <sheet name="Sheet2" sheetId="2" r:id="rId2"/>
    <sheet name="Sheet3" sheetId="3" r:id="rId3"/>
    <sheet name="Sheet4" sheetId="4" r:id="rId4"/>
    <sheet name="Sheet6" sheetId="6" r:id="rId5"/>
  </sheets>
  <calcPr calcId="140000" concurrentCalc="0"/>
  <extLst>
    <ext xmlns:mx="http://schemas.microsoft.com/office/mac/excel/2008/main" uri="{7523E5D3-25F3-A5E0-1632-64F254C22452}">
      <mx:ArchID Flags="2"/>
    </ext>
  </extLst>
</workbook>
</file>

<file path=xl/calcChain.xml><?xml version="1.0" encoding="utf-8"?>
<calcChain xmlns="http://schemas.openxmlformats.org/spreadsheetml/2006/main">
  <c r="B2" i="4" l="1"/>
  <c r="C2" i="4"/>
  <c r="D2" i="4"/>
  <c r="E2" i="4"/>
  <c r="F2" i="4"/>
  <c r="G2" i="4"/>
  <c r="H2" i="4"/>
  <c r="I2" i="4"/>
  <c r="J2" i="4"/>
  <c r="K2" i="4"/>
  <c r="L2" i="4"/>
  <c r="M2" i="4"/>
  <c r="N2" i="4"/>
  <c r="O2" i="4"/>
  <c r="P2" i="4"/>
  <c r="Q2" i="4"/>
  <c r="A2" i="4"/>
  <c r="A144" i="6"/>
  <c r="A128" i="6"/>
  <c r="A129" i="6"/>
  <c r="A130" i="6"/>
  <c r="A131" i="6"/>
  <c r="A132" i="6"/>
  <c r="A133" i="6"/>
  <c r="A134" i="6"/>
  <c r="A135" i="6"/>
  <c r="A136" i="6"/>
  <c r="A137" i="6"/>
  <c r="A138" i="6"/>
  <c r="A139" i="6"/>
  <c r="A140" i="6"/>
  <c r="A141" i="6"/>
  <c r="A142" i="6"/>
  <c r="A143" i="6"/>
  <c r="A127" i="6"/>
  <c r="A110" i="6"/>
  <c r="A111" i="6"/>
  <c r="A112" i="6"/>
  <c r="A113" i="6"/>
  <c r="A114" i="6"/>
  <c r="A115" i="6"/>
  <c r="A116" i="6"/>
  <c r="A117" i="6"/>
  <c r="A118" i="6"/>
  <c r="A119" i="6"/>
  <c r="A120" i="6"/>
  <c r="A121" i="6"/>
  <c r="A122" i="6"/>
  <c r="A123" i="6"/>
  <c r="A124" i="6"/>
  <c r="A125" i="6"/>
  <c r="A126" i="6"/>
  <c r="A109" i="6"/>
  <c r="A92" i="6"/>
  <c r="A93" i="6"/>
  <c r="A94" i="6"/>
  <c r="A95" i="6"/>
  <c r="A96" i="6"/>
  <c r="A97" i="6"/>
  <c r="A98" i="6"/>
  <c r="A99" i="6"/>
  <c r="A100" i="6"/>
  <c r="A101" i="6"/>
  <c r="A102" i="6"/>
  <c r="A103" i="6"/>
  <c r="A104" i="6"/>
  <c r="A105" i="6"/>
  <c r="A106" i="6"/>
  <c r="A107" i="6"/>
  <c r="A108" i="6"/>
  <c r="A91" i="6"/>
  <c r="A74" i="6"/>
  <c r="A75" i="6"/>
  <c r="A76" i="6"/>
  <c r="A77" i="6"/>
  <c r="A78" i="6"/>
  <c r="A79" i="6"/>
  <c r="A80" i="6"/>
  <c r="A81" i="6"/>
  <c r="A82" i="6"/>
  <c r="A83" i="6"/>
  <c r="A84" i="6"/>
  <c r="A85" i="6"/>
  <c r="A86" i="6"/>
  <c r="A87" i="6"/>
  <c r="A88" i="6"/>
  <c r="A89" i="6"/>
  <c r="A90" i="6"/>
  <c r="A73" i="6"/>
  <c r="A56" i="6"/>
  <c r="A57" i="6"/>
  <c r="A58" i="6"/>
  <c r="A59" i="6"/>
  <c r="A60" i="6"/>
  <c r="A61" i="6"/>
  <c r="A62" i="6"/>
  <c r="A63" i="6"/>
  <c r="A64" i="6"/>
  <c r="A65" i="6"/>
  <c r="A66" i="6"/>
  <c r="A67" i="6"/>
  <c r="A68" i="6"/>
  <c r="A69" i="6"/>
  <c r="A70" i="6"/>
  <c r="A71" i="6"/>
  <c r="A72" i="6"/>
  <c r="A55" i="6"/>
  <c r="A38" i="6"/>
  <c r="A39" i="6"/>
  <c r="A40" i="6"/>
  <c r="A41" i="6"/>
  <c r="A42" i="6"/>
  <c r="A43" i="6"/>
  <c r="A44" i="6"/>
  <c r="A45" i="6"/>
  <c r="A46" i="6"/>
  <c r="A47" i="6"/>
  <c r="A48" i="6"/>
  <c r="A49" i="6"/>
  <c r="A50" i="6"/>
  <c r="A51" i="6"/>
  <c r="A52" i="6"/>
  <c r="A53" i="6"/>
  <c r="A54" i="6"/>
  <c r="A37" i="6"/>
  <c r="A20" i="6"/>
  <c r="A21" i="6"/>
  <c r="A22" i="6"/>
  <c r="A23" i="6"/>
  <c r="A24" i="6"/>
  <c r="A25" i="6"/>
  <c r="A26" i="6"/>
  <c r="A27" i="6"/>
  <c r="A28" i="6"/>
  <c r="A29" i="6"/>
  <c r="A30" i="6"/>
  <c r="A31" i="6"/>
  <c r="A32" i="6"/>
  <c r="A33" i="6"/>
  <c r="A34" i="6"/>
  <c r="A35" i="6"/>
  <c r="A36" i="6"/>
  <c r="A19" i="6"/>
  <c r="A2" i="6"/>
  <c r="A3" i="6"/>
  <c r="A4" i="6"/>
  <c r="A5" i="6"/>
  <c r="A6" i="6"/>
  <c r="A7" i="6"/>
  <c r="A8" i="6"/>
  <c r="A9" i="6"/>
  <c r="A10" i="6"/>
  <c r="A11" i="6"/>
  <c r="A12" i="6"/>
  <c r="A13" i="6"/>
  <c r="A14" i="6"/>
  <c r="A15" i="6"/>
  <c r="A16" i="6"/>
  <c r="A17" i="6"/>
  <c r="A18" i="6"/>
  <c r="A1" i="6"/>
  <c r="V18" i="4"/>
  <c r="U18" i="4"/>
  <c r="O18" i="4"/>
  <c r="P18" i="4"/>
  <c r="Q18" i="4"/>
  <c r="R18" i="4"/>
  <c r="S18" i="4"/>
  <c r="T18" i="4"/>
  <c r="B18" i="4"/>
  <c r="C18" i="4"/>
  <c r="D18" i="4"/>
  <c r="E18" i="4"/>
  <c r="F18" i="4"/>
  <c r="G18" i="4"/>
  <c r="H18" i="4"/>
  <c r="I18" i="4"/>
  <c r="J18" i="4"/>
  <c r="K18" i="4"/>
  <c r="L18" i="4"/>
  <c r="M18" i="4"/>
  <c r="N18" i="4"/>
  <c r="A18" i="4"/>
  <c r="A3" i="4"/>
  <c r="A4" i="4"/>
  <c r="A5" i="4"/>
  <c r="A6" i="4"/>
  <c r="A7" i="4"/>
  <c r="A8" i="4"/>
  <c r="A9" i="4"/>
  <c r="A10" i="4"/>
  <c r="A11" i="4"/>
  <c r="A12" i="4"/>
  <c r="A13" i="4"/>
  <c r="A14" i="4"/>
  <c r="A15" i="4"/>
  <c r="A16" i="4"/>
  <c r="A17" i="4"/>
  <c r="A1" i="4"/>
  <c r="V1" i="4"/>
  <c r="V2" i="4"/>
  <c r="V3" i="4"/>
  <c r="V4" i="4"/>
  <c r="V5" i="4"/>
  <c r="V6" i="4"/>
  <c r="V7" i="4"/>
  <c r="V8" i="4"/>
  <c r="V9" i="4"/>
  <c r="V10" i="4"/>
  <c r="V11" i="4"/>
  <c r="V12" i="4"/>
  <c r="V13" i="4"/>
  <c r="V14" i="4"/>
  <c r="V15" i="4"/>
  <c r="V16" i="4"/>
  <c r="V17" i="4"/>
  <c r="P1" i="4"/>
  <c r="Q1" i="4"/>
  <c r="R1" i="4"/>
  <c r="S1" i="4"/>
  <c r="T1" i="4"/>
  <c r="U1" i="4"/>
  <c r="R2" i="4"/>
  <c r="S2" i="4"/>
  <c r="T2" i="4"/>
  <c r="U2" i="4"/>
  <c r="P3" i="4"/>
  <c r="Q3" i="4"/>
  <c r="R3" i="4"/>
  <c r="S3" i="4"/>
  <c r="T3" i="4"/>
  <c r="U3" i="4"/>
  <c r="P4" i="4"/>
  <c r="Q4" i="4"/>
  <c r="R4" i="4"/>
  <c r="S4" i="4"/>
  <c r="T4" i="4"/>
  <c r="U4" i="4"/>
  <c r="P5" i="4"/>
  <c r="Q5" i="4"/>
  <c r="R5" i="4"/>
  <c r="S5" i="4"/>
  <c r="T5" i="4"/>
  <c r="U5" i="4"/>
  <c r="P6" i="4"/>
  <c r="Q6" i="4"/>
  <c r="R6" i="4"/>
  <c r="S6" i="4"/>
  <c r="T6" i="4"/>
  <c r="U6" i="4"/>
  <c r="P7" i="4"/>
  <c r="Q7" i="4"/>
  <c r="R7" i="4"/>
  <c r="S7" i="4"/>
  <c r="T7" i="4"/>
  <c r="U7" i="4"/>
  <c r="P8" i="4"/>
  <c r="Q8" i="4"/>
  <c r="R8" i="4"/>
  <c r="S8" i="4"/>
  <c r="T8" i="4"/>
  <c r="U8" i="4"/>
  <c r="P9" i="4"/>
  <c r="Q9" i="4"/>
  <c r="R9" i="4"/>
  <c r="S9" i="4"/>
  <c r="T9" i="4"/>
  <c r="U9" i="4"/>
  <c r="P10" i="4"/>
  <c r="Q10" i="4"/>
  <c r="R10" i="4"/>
  <c r="S10" i="4"/>
  <c r="T10" i="4"/>
  <c r="U10" i="4"/>
  <c r="P11" i="4"/>
  <c r="Q11" i="4"/>
  <c r="R11" i="4"/>
  <c r="S11" i="4"/>
  <c r="T11" i="4"/>
  <c r="U11" i="4"/>
  <c r="P12" i="4"/>
  <c r="Q12" i="4"/>
  <c r="R12" i="4"/>
  <c r="S12" i="4"/>
  <c r="T12" i="4"/>
  <c r="U12" i="4"/>
  <c r="P13" i="4"/>
  <c r="Q13" i="4"/>
  <c r="R13" i="4"/>
  <c r="S13" i="4"/>
  <c r="T13" i="4"/>
  <c r="U13" i="4"/>
  <c r="P14" i="4"/>
  <c r="Q14" i="4"/>
  <c r="R14" i="4"/>
  <c r="S14" i="4"/>
  <c r="T14" i="4"/>
  <c r="U14" i="4"/>
  <c r="P15" i="4"/>
  <c r="Q15" i="4"/>
  <c r="R15" i="4"/>
  <c r="S15" i="4"/>
  <c r="T15" i="4"/>
  <c r="U15" i="4"/>
  <c r="P16" i="4"/>
  <c r="Q16" i="4"/>
  <c r="R16" i="4"/>
  <c r="S16" i="4"/>
  <c r="T16" i="4"/>
  <c r="U16" i="4"/>
  <c r="P17" i="4"/>
  <c r="Q17" i="4"/>
  <c r="R17" i="4"/>
  <c r="S17" i="4"/>
  <c r="T17" i="4"/>
  <c r="U17" i="4"/>
  <c r="L1" i="4"/>
  <c r="M1" i="4"/>
  <c r="N1" i="4"/>
  <c r="O1" i="4"/>
  <c r="L3" i="4"/>
  <c r="M3" i="4"/>
  <c r="N3" i="4"/>
  <c r="O3" i="4"/>
  <c r="L4" i="4"/>
  <c r="M4" i="4"/>
  <c r="N4" i="4"/>
  <c r="O4" i="4"/>
  <c r="L5" i="4"/>
  <c r="M5" i="4"/>
  <c r="N5" i="4"/>
  <c r="O5" i="4"/>
  <c r="L6" i="4"/>
  <c r="M6" i="4"/>
  <c r="N6" i="4"/>
  <c r="O6" i="4"/>
  <c r="L7" i="4"/>
  <c r="M7" i="4"/>
  <c r="N7" i="4"/>
  <c r="O7" i="4"/>
  <c r="L8" i="4"/>
  <c r="M8" i="4"/>
  <c r="N8" i="4"/>
  <c r="O8" i="4"/>
  <c r="L9" i="4"/>
  <c r="M9" i="4"/>
  <c r="N9" i="4"/>
  <c r="O9" i="4"/>
  <c r="L10" i="4"/>
  <c r="M10" i="4"/>
  <c r="N10" i="4"/>
  <c r="O10" i="4"/>
  <c r="L11" i="4"/>
  <c r="M11" i="4"/>
  <c r="N11" i="4"/>
  <c r="O11" i="4"/>
  <c r="L12" i="4"/>
  <c r="M12" i="4"/>
  <c r="N12" i="4"/>
  <c r="O12" i="4"/>
  <c r="L13" i="4"/>
  <c r="M13" i="4"/>
  <c r="N13" i="4"/>
  <c r="O13" i="4"/>
  <c r="L14" i="4"/>
  <c r="M14" i="4"/>
  <c r="N14" i="4"/>
  <c r="O14" i="4"/>
  <c r="L15" i="4"/>
  <c r="M15" i="4"/>
  <c r="N15" i="4"/>
  <c r="O15" i="4"/>
  <c r="L16" i="4"/>
  <c r="M16" i="4"/>
  <c r="N16" i="4"/>
  <c r="O16" i="4"/>
  <c r="L17" i="4"/>
  <c r="M17" i="4"/>
  <c r="N17" i="4"/>
  <c r="O17" i="4"/>
  <c r="B14" i="4"/>
  <c r="C14" i="4"/>
  <c r="D14" i="4"/>
  <c r="E14" i="4"/>
  <c r="F14" i="4"/>
  <c r="G14" i="4"/>
  <c r="H14" i="4"/>
  <c r="C1" i="4"/>
  <c r="D1" i="4"/>
  <c r="E1" i="4"/>
  <c r="F1" i="4"/>
  <c r="G1" i="4"/>
  <c r="H1" i="4"/>
  <c r="C3" i="4"/>
  <c r="D3" i="4"/>
  <c r="E3" i="4"/>
  <c r="F3" i="4"/>
  <c r="G3" i="4"/>
  <c r="H3" i="4"/>
  <c r="C4" i="4"/>
  <c r="D4" i="4"/>
  <c r="E4" i="4"/>
  <c r="F4" i="4"/>
  <c r="G4" i="4"/>
  <c r="H4" i="4"/>
  <c r="C5" i="4"/>
  <c r="D5" i="4"/>
  <c r="E5" i="4"/>
  <c r="F5" i="4"/>
  <c r="G5" i="4"/>
  <c r="H5" i="4"/>
  <c r="C6" i="4"/>
  <c r="D6" i="4"/>
  <c r="E6" i="4"/>
  <c r="F6" i="4"/>
  <c r="G6" i="4"/>
  <c r="H6" i="4"/>
  <c r="C7" i="4"/>
  <c r="D7" i="4"/>
  <c r="E7" i="4"/>
  <c r="F7" i="4"/>
  <c r="G7" i="4"/>
  <c r="H7" i="4"/>
  <c r="C8" i="4"/>
  <c r="D8" i="4"/>
  <c r="E8" i="4"/>
  <c r="F8" i="4"/>
  <c r="G8" i="4"/>
  <c r="H8" i="4"/>
  <c r="C9" i="4"/>
  <c r="D9" i="4"/>
  <c r="E9" i="4"/>
  <c r="F9" i="4"/>
  <c r="G9" i="4"/>
  <c r="H9" i="4"/>
  <c r="C10" i="4"/>
  <c r="D10" i="4"/>
  <c r="E10" i="4"/>
  <c r="F10" i="4"/>
  <c r="G10" i="4"/>
  <c r="H10" i="4"/>
  <c r="C11" i="4"/>
  <c r="D11" i="4"/>
  <c r="E11" i="4"/>
  <c r="F11" i="4"/>
  <c r="G11" i="4"/>
  <c r="H11" i="4"/>
  <c r="C12" i="4"/>
  <c r="D12" i="4"/>
  <c r="E12" i="4"/>
  <c r="F12" i="4"/>
  <c r="G12" i="4"/>
  <c r="H12" i="4"/>
  <c r="C13" i="4"/>
  <c r="D13" i="4"/>
  <c r="E13" i="4"/>
  <c r="F13" i="4"/>
  <c r="G13" i="4"/>
  <c r="H13" i="4"/>
  <c r="C15" i="4"/>
  <c r="D15" i="4"/>
  <c r="E15" i="4"/>
  <c r="F15" i="4"/>
  <c r="G15" i="4"/>
  <c r="H15" i="4"/>
  <c r="C16" i="4"/>
  <c r="D16" i="4"/>
  <c r="E16" i="4"/>
  <c r="F16" i="4"/>
  <c r="G16" i="4"/>
  <c r="H16" i="4"/>
  <c r="C17" i="4"/>
  <c r="D17" i="4"/>
  <c r="E17" i="4"/>
  <c r="F17" i="4"/>
  <c r="G17" i="4"/>
  <c r="H17" i="4"/>
  <c r="P14" i="1"/>
  <c r="Q14" i="1"/>
  <c r="R14" i="1"/>
  <c r="S14" i="1"/>
  <c r="T14" i="1"/>
  <c r="U14" i="1"/>
  <c r="P15" i="1"/>
  <c r="Q15" i="1"/>
  <c r="R15" i="1"/>
  <c r="S15" i="1"/>
  <c r="T15" i="1"/>
  <c r="U15" i="1"/>
  <c r="O15" i="1"/>
  <c r="O14" i="1"/>
  <c r="B3" i="4"/>
  <c r="I3" i="4"/>
  <c r="J3" i="4"/>
  <c r="K3" i="4"/>
  <c r="B4" i="4"/>
  <c r="I4" i="4"/>
  <c r="J4" i="4"/>
  <c r="K4" i="4"/>
  <c r="B5" i="4"/>
  <c r="I5" i="4"/>
  <c r="J5" i="4"/>
  <c r="K5" i="4"/>
  <c r="B6" i="4"/>
  <c r="I6" i="4"/>
  <c r="J6" i="4"/>
  <c r="K6" i="4"/>
  <c r="B7" i="4"/>
  <c r="I7" i="4"/>
  <c r="J7" i="4"/>
  <c r="K7" i="4"/>
  <c r="B8" i="4"/>
  <c r="I8" i="4"/>
  <c r="J8" i="4"/>
  <c r="K8" i="4"/>
  <c r="B9" i="4"/>
  <c r="I9" i="4"/>
  <c r="J9" i="4"/>
  <c r="K9" i="4"/>
  <c r="B10" i="4"/>
  <c r="I10" i="4"/>
  <c r="J10" i="4"/>
  <c r="K10" i="4"/>
  <c r="B11" i="4"/>
  <c r="I11" i="4"/>
  <c r="J11" i="4"/>
  <c r="K11" i="4"/>
  <c r="B12" i="4"/>
  <c r="I12" i="4"/>
  <c r="J12" i="4"/>
  <c r="K12" i="4"/>
  <c r="B13" i="4"/>
  <c r="I13" i="4"/>
  <c r="J13" i="4"/>
  <c r="K13" i="4"/>
  <c r="I14" i="4"/>
  <c r="J14" i="4"/>
  <c r="K14" i="4"/>
  <c r="B15" i="4"/>
  <c r="I15" i="4"/>
  <c r="J15" i="4"/>
  <c r="K15" i="4"/>
  <c r="B16" i="4"/>
  <c r="I16" i="4"/>
  <c r="J16" i="4"/>
  <c r="K16" i="4"/>
  <c r="B17" i="4"/>
  <c r="I17" i="4"/>
  <c r="J17" i="4"/>
  <c r="K17" i="4"/>
  <c r="B1" i="4"/>
  <c r="I1" i="4"/>
  <c r="J1" i="4"/>
  <c r="K1" i="4"/>
</calcChain>
</file>

<file path=xl/sharedStrings.xml><?xml version="1.0" encoding="utf-8"?>
<sst xmlns="http://schemas.openxmlformats.org/spreadsheetml/2006/main" count="480" uniqueCount="122">
  <si>
    <t>Your name, please? *</t>
  </si>
  <si>
    <t>We need to know who you are, so we can help you.</t>
  </si>
  <si>
    <t>Your email address? *</t>
  </si>
  <si>
    <t>We need to know how to reply with your CE; email is best!</t>
  </si>
  <si>
    <t>Your contact number? (Not required)</t>
  </si>
  <si>
    <t xml:space="preserve">If you'd like us to phone you rather, just give us your number and we'll </t>
  </si>
  <si>
    <t xml:space="preserve">FULL STACK prides itself on delivering quality software on time with a fixed budget. How do we do this? Core to this is understanding which are your two priorities out of this triad; and what your constraints are. </t>
  </si>
  <si>
    <t>Rank your time, quality, money priorities *</t>
  </si>
  <si>
    <t>High Priority of TIME means FAST. High priority of QUALITY means PRECISION. High priority of MONEY means CHEAP.</t>
  </si>
  <si>
    <t>TIME</t>
  </si>
  <si>
    <t>QUALITY</t>
  </si>
  <si>
    <t>MONEY</t>
  </si>
  <si>
    <t>What is your required level of quality? *</t>
  </si>
  <si>
    <t>We are using some everyday items as a way of indicating criticality of quality. All the solutions we develop is measured to a quality model agreed prior to commencement.</t>
  </si>
  <si>
    <t xml:space="preserve">Bicycle / I'm ok with repairing a puncture once in a while. </t>
  </si>
  <si>
    <t xml:space="preserve">Car / I need it to work, day in and day out. </t>
  </si>
  <si>
    <t xml:space="preserve">Jumbo Jet / I'm not at the controls but my life depends on it. </t>
  </si>
  <si>
    <t>Space Craft / Never done before, "To infinity and beyond!"</t>
  </si>
  <si>
    <t>Other:</t>
  </si>
  <si>
    <t>When do you need to be DONE by? *</t>
  </si>
  <si>
    <t>As in, when do you need the software and/or solution in your hands?</t>
  </si>
  <si>
    <t>When do you need to be LIVE by?</t>
  </si>
  <si>
    <t>As in, when do you need the software and/or solution in the hands of your staff or consumers?</t>
  </si>
  <si>
    <t>How much money do you have budgeted for this? *</t>
  </si>
  <si>
    <t>Err... this is awkward. We love building software. We also need to get paid to keep us in coffee beans and electricity. So now is the time to tell us how much or little you have. Don't be afraid - we are happy to tailor your scope of work to your budget.</t>
  </si>
  <si>
    <t>Even more awkward... Not to go all Linda Evangelista on you, but we don't get out of bed for less than 8000. If you are a past customer of ours, just call your account manager if you need a change request or small piece of work done; otherwise mail sales@fullstack.co.za</t>
  </si>
  <si>
    <t xml:space="preserve">Quality software requires precise specification and agreement. We will probably follow up with some questions along with our CE. This section gives you an opportunity to 'cut and paste' a brief, or at the very least give us a functional list of what you need from your software, and the form it should take. </t>
  </si>
  <si>
    <t>The Brief</t>
  </si>
  <si>
    <t>Here we go... let it all out. Give us much detail as possible. The more detail, the more accurate the CE. If there is not sufficient information for us to quote on with this, we may need to drop you an email to follow up with you.</t>
  </si>
  <si>
    <t>What type of development is required? *</t>
  </si>
  <si>
    <t>Responsive Web Development (HTML5/JSON/REST)</t>
  </si>
  <si>
    <t>Native Mobile Application (iOS)</t>
  </si>
  <si>
    <t>Database Architecture and Design</t>
  </si>
  <si>
    <t>Bespoke Software Platform</t>
  </si>
  <si>
    <t>Any technology you specifically need this developed in?</t>
  </si>
  <si>
    <t>JavaScript</t>
  </si>
  <si>
    <t>HTML5</t>
  </si>
  <si>
    <t>SQL</t>
  </si>
  <si>
    <t>NoSQL</t>
  </si>
  <si>
    <t>conceptual</t>
  </si>
  <si>
    <t>logical</t>
  </si>
  <si>
    <t>physical</t>
  </si>
  <si>
    <t>NAME</t>
  </si>
  <si>
    <t>EMAIL</t>
  </si>
  <si>
    <t>PHONE</t>
  </si>
  <si>
    <t>expectedDate</t>
  </si>
  <si>
    <t>liveDate</t>
  </si>
  <si>
    <t>budget</t>
  </si>
  <si>
    <t>Web Question</t>
  </si>
  <si>
    <t>Alt information</t>
  </si>
  <si>
    <t>field</t>
  </si>
  <si>
    <t>string</t>
  </si>
  <si>
    <t>email string</t>
  </si>
  <si>
    <t>number</t>
  </si>
  <si>
    <t>array</t>
  </si>
  <si>
    <t>Low, Medium, High</t>
  </si>
  <si>
    <t>Level of Quality</t>
  </si>
  <si>
    <t>date</t>
  </si>
  <si>
    <t>E-Commerce Web Development</t>
  </si>
  <si>
    <t>Python</t>
  </si>
  <si>
    <t>Flask</t>
  </si>
  <si>
    <t>Django</t>
  </si>
  <si>
    <t>response</t>
  </si>
  <si>
    <t>type</t>
  </si>
  <si>
    <t>values</t>
  </si>
  <si>
    <t>int</t>
  </si>
  <si>
    <t>quote id</t>
  </si>
  <si>
    <t>Quote status</t>
  </si>
  <si>
    <t xml:space="preserve">Quote </t>
  </si>
  <si>
    <t>coll.insert({</t>
  </si>
  <si>
    <t>"random@email.com",</t>
  </si>
  <si>
    <t>"Mr. Smith",</t>
  </si>
  <si>
    <t>"ciaran",</t>
  </si>
  <si>
    <t>"Mr. Ross",</t>
  </si>
  <si>
    <t xml:space="preserve"> "ciaran.quinlan@gmail.com",</t>
  </si>
  <si>
    <t xml:space="preserve"> "0868090777",</t>
  </si>
  <si>
    <t xml:space="preserve"> "01/09/2019",</t>
  </si>
  <si>
    <t>"4000",</t>
  </si>
  <si>
    <t>"this is the detailed brief",</t>
  </si>
  <si>
    <t>"open",</t>
  </si>
  <si>
    <t xml:space="preserve"> "send me a quote that will meet my requirements",</t>
  </si>
  <si>
    <t xml:space="preserve"> "sending the standard response"</t>
  </si>
  <si>
    <t>"5000",</t>
  </si>
  <si>
    <t>"10000",</t>
  </si>
  <si>
    <t>"Becoming a fullstack web developer requires you to cover a lot of skills. For beginners it’s often not easy to find the right learning path and to gain quick result. At first sight it might be overwhelming to understand what you need to learn and how everything fits together at the end..",</t>
  </si>
  <si>
    <t>"This post will give you an overview of technologies you may consider to learn for being a fullstack developer in 2019 and beyond. We’ll start to take a look at the foundation and programming languages and then move forward to more advanced topics like frameworks and additional tools..",</t>
  </si>
  <si>
    <t>"This list will provide guidance to find your path through the web development jungle in 2019. Together with a short description of the relevant topics this post contains link to great learning resources so that you can start quickly to expand your skill-set.",</t>
  </si>
  <si>
    <t>"closed",</t>
  </si>
  <si>
    <t>"pending",</t>
  </si>
  <si>
    <t>});</t>
  </si>
  <si>
    <t>quoteId:</t>
  </si>
  <si>
    <t>"Low",</t>
  </si>
  <si>
    <t xml:space="preserve"> "Medium",</t>
  </si>
  <si>
    <t xml:space="preserve"> "High",</t>
  </si>
  <si>
    <t>'Responsive Web Development (HTML5/JSON/REST)',</t>
  </si>
  <si>
    <t>'Native Mobile Application (iOS)',</t>
  </si>
  <si>
    <t>'E-Commerce Web Development',</t>
  </si>
  <si>
    <t>'Database Architecture and Design',</t>
  </si>
  <si>
    <t>'Bespoke Software Platform',</t>
  </si>
  <si>
    <t>'Other:',</t>
  </si>
  <si>
    <t>'Python',</t>
  </si>
  <si>
    <t>'JavaScript',</t>
  </si>
  <si>
    <t>'HTML5',</t>
  </si>
  <si>
    <t>'SQL',</t>
  </si>
  <si>
    <t>'Flask',</t>
  </si>
  <si>
    <t>'Django',</t>
  </si>
  <si>
    <t>'NoSQL',</t>
  </si>
  <si>
    <r>
      <t xml:space="preserve">name: </t>
    </r>
    <r>
      <rPr>
        <sz val="12"/>
        <color rgb="FFF44747"/>
        <rFont val="Monaco"/>
      </rPr>
      <t/>
    </r>
  </si>
  <si>
    <t>email:</t>
  </si>
  <si>
    <t>phone:</t>
  </si>
  <si>
    <r>
      <t xml:space="preserve">rankQuality: </t>
    </r>
    <r>
      <rPr>
        <sz val="12"/>
        <color rgb="FFF44747"/>
        <rFont val="Monaco"/>
      </rPr>
      <t/>
    </r>
  </si>
  <si>
    <t>rankTime:</t>
  </si>
  <si>
    <t>rankCost:</t>
  </si>
  <si>
    <t>expectedDate:</t>
  </si>
  <si>
    <t>liveDate:</t>
  </si>
  <si>
    <r>
      <t xml:space="preserve">budget: </t>
    </r>
    <r>
      <rPr>
        <sz val="12"/>
        <color rgb="FFF44747"/>
        <rFont val="Monaco"/>
      </rPr>
      <t/>
    </r>
  </si>
  <si>
    <r>
      <t xml:space="preserve">brief: </t>
    </r>
    <r>
      <rPr>
        <sz val="12"/>
        <color rgb="FFF44747"/>
        <rFont val="Monaco"/>
      </rPr>
      <t/>
    </r>
  </si>
  <si>
    <t>typeDevelopment:</t>
  </si>
  <si>
    <t>technology:</t>
  </si>
  <si>
    <r>
      <t xml:space="preserve">quoteStatus: </t>
    </r>
    <r>
      <rPr>
        <sz val="12"/>
        <color rgb="FFF44747"/>
        <rFont val="Monaco"/>
      </rPr>
      <t/>
    </r>
  </si>
  <si>
    <t>quoteDetails:</t>
  </si>
  <si>
    <t>quoteResponse:</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</si>
</sst>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2"/>
      <color theme="1"/>
      <name val="Calibri"/>
      <family val="2"/>
      <scheme val="minor"/>
    </font>
    <font>
      <u/>
      <sz val="12"/>
      <color theme="10"/>
      <name val="Calibri"/>
      <family val="2"/>
      <scheme val="minor"/>
    </font>
    <font>
      <u/>
      <sz val="12"/>
      <color theme="11"/>
      <name val="Calibri"/>
      <family val="2"/>
      <scheme val="minor"/>
    </font>
    <font>
      <sz val="12"/>
      <color rgb="FFF44747"/>
      <name val="Monaco"/>
    </font>
    <font>
      <sz val="12"/>
      <color theme="1"/>
      <name val="Acumin Pro"/>
    </font>
    <font>
      <u/>
      <sz val="12"/>
      <color theme="1"/>
      <name val="Acumin Pro"/>
    </font>
  </fonts>
  <fills count="2">
    <fill>
      <patternFill patternType="none"/>
    </fill>
    <fill>
      <patternFill patternType="gray125"/>
    </fill>
  </fills>
  <borders count="1">
    <border>
      <left/>
      <right/>
      <top/>
      <bottom/>
      <diagonal/>
    </border>
  </borders>
  <cellStyleXfs count="160">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cellStyleXfs>
  <cellXfs count="5">
    <xf numFmtId="0" fontId="0" fillId="0" borderId="0" xfId="0"/>
    <xf numFmtId="0" fontId="0" fillId="0" borderId="0" xfId="0" applyAlignment="1">
      <alignment wrapText="1"/>
    </xf>
    <xf numFmtId="0" fontId="4" fillId="0" borderId="0" xfId="0" applyFont="1" applyAlignment="1">
      <alignment wrapText="1"/>
    </xf>
    <xf numFmtId="0" fontId="4" fillId="0" borderId="0" xfId="0" quotePrefix="1" applyFont="1" applyAlignment="1">
      <alignment wrapText="1"/>
    </xf>
    <xf numFmtId="0" fontId="5" fillId="0" borderId="0" xfId="131" applyFont="1" applyAlignment="1">
      <alignment wrapText="1"/>
    </xf>
  </cellXfs>
  <cellStyles count="16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3" builtinId="9" hidden="1"/>
    <cellStyle name="Followed Hyperlink" xfId="134" builtinId="9" hidden="1"/>
    <cellStyle name="Followed Hyperlink" xfId="135" builtinId="9" hidden="1"/>
    <cellStyle name="Followed Hyperlink" xfId="136" builtinId="9" hidden="1"/>
    <cellStyle name="Followed Hyperlink" xfId="137" builtinId="9" hidden="1"/>
    <cellStyle name="Followed Hyperlink" xfId="138" builtinId="9" hidden="1"/>
    <cellStyle name="Followed Hyperlink" xfId="139" builtinId="9" hidden="1"/>
    <cellStyle name="Followed Hyperlink" xfId="140" builtinId="9" hidden="1"/>
    <cellStyle name="Followed Hyperlink" xfId="141" builtinId="9" hidden="1"/>
    <cellStyle name="Followed Hyperlink" xfId="142" builtinId="9" hidden="1"/>
    <cellStyle name="Followed Hyperlink" xfId="143" builtinId="9" hidden="1"/>
    <cellStyle name="Followed Hyperlink" xfId="144" builtinId="9" hidden="1"/>
    <cellStyle name="Followed Hyperlink" xfId="145" builtinId="9" hidden="1"/>
    <cellStyle name="Followed Hyperlink" xfId="146" builtinId="9" hidden="1"/>
    <cellStyle name="Followed Hyperlink" xfId="147" builtinId="9" hidden="1"/>
    <cellStyle name="Followed Hyperlink" xfId="148" builtinId="9" hidden="1"/>
    <cellStyle name="Followed Hyperlink" xfId="149" builtinId="9" hidden="1"/>
    <cellStyle name="Followed Hyperlink" xfId="150" builtinId="9" hidden="1"/>
    <cellStyle name="Followed Hyperlink" xfId="151" builtinId="9" hidden="1"/>
    <cellStyle name="Followed Hyperlink" xfId="152" builtinId="9" hidden="1"/>
    <cellStyle name="Followed Hyperlink" xfId="153" builtinId="9" hidden="1"/>
    <cellStyle name="Followed Hyperlink" xfId="154" builtinId="9" hidden="1"/>
    <cellStyle name="Followed Hyperlink" xfId="155" builtinId="9" hidden="1"/>
    <cellStyle name="Followed Hyperlink" xfId="156" builtinId="9" hidden="1"/>
    <cellStyle name="Followed Hyperlink" xfId="157" builtinId="9" hidden="1"/>
    <cellStyle name="Followed Hyperlink" xfId="158" builtinId="9" hidden="1"/>
    <cellStyle name="Followed Hyperlink" xfId="159"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 Id="rId9" Type="http://schemas.openxmlformats.org/officeDocument/2006/relationships/calcChain" Target="calcChain.xml"/><Relationship Id="rId1" Type="http://schemas.openxmlformats.org/officeDocument/2006/relationships/worksheet" Target="worksheets/sheet1.xml"/><Relationship Id="rId2"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1" Type="http://schemas.openxmlformats.org/officeDocument/2006/relationships/hyperlink" Target="mailto:random@email.com" TargetMode="External"/><Relationship Id="rId12" Type="http://schemas.openxmlformats.org/officeDocument/2006/relationships/hyperlink" Target="mailto:random@email.com" TargetMode="External"/><Relationship Id="rId1" Type="http://schemas.openxmlformats.org/officeDocument/2006/relationships/hyperlink" Target="mailto:random@email.com" TargetMode="External"/><Relationship Id="rId2" Type="http://schemas.openxmlformats.org/officeDocument/2006/relationships/hyperlink" Target="mailto:random@email.com" TargetMode="External"/><Relationship Id="rId3" Type="http://schemas.openxmlformats.org/officeDocument/2006/relationships/hyperlink" Target="mailto:random@email.com" TargetMode="External"/><Relationship Id="rId4" Type="http://schemas.openxmlformats.org/officeDocument/2006/relationships/hyperlink" Target="mailto:random@email.com" TargetMode="External"/><Relationship Id="rId5" Type="http://schemas.openxmlformats.org/officeDocument/2006/relationships/hyperlink" Target="mailto:random@email.com" TargetMode="External"/><Relationship Id="rId6" Type="http://schemas.openxmlformats.org/officeDocument/2006/relationships/hyperlink" Target="mailto:random@email.com" TargetMode="External"/><Relationship Id="rId7" Type="http://schemas.openxmlformats.org/officeDocument/2006/relationships/hyperlink" Target="mailto:random@email.com" TargetMode="External"/><Relationship Id="rId8" Type="http://schemas.openxmlformats.org/officeDocument/2006/relationships/hyperlink" Target="mailto:random@email.com" TargetMode="External"/><Relationship Id="rId9" Type="http://schemas.openxmlformats.org/officeDocument/2006/relationships/hyperlink" Target="mailto:random@email.com" TargetMode="External"/><Relationship Id="rId10" Type="http://schemas.openxmlformats.org/officeDocument/2006/relationships/hyperlink" Target="mailto:random@e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4"/>
  <sheetViews>
    <sheetView topLeftCell="D6" zoomScale="75" zoomScaleNormal="75" zoomScalePageLayoutView="75" workbookViewId="0">
      <selection activeCell="O15" sqref="O15:U15"/>
    </sheetView>
  </sheetViews>
  <sheetFormatPr baseColWidth="10" defaultRowHeight="57" customHeight="1" x14ac:dyDescent="0"/>
  <cols>
    <col min="1" max="1" width="86.83203125" style="1" customWidth="1"/>
    <col min="2" max="2" width="38.33203125" style="1" customWidth="1"/>
    <col min="3" max="3" width="19.1640625" customWidth="1"/>
    <col min="4" max="4" width="23.33203125" customWidth="1"/>
    <col min="5" max="5" width="43.5" customWidth="1"/>
  </cols>
  <sheetData>
    <row r="1" spans="1:21" ht="57" customHeight="1">
      <c r="A1" s="1" t="s">
        <v>48</v>
      </c>
      <c r="B1" s="1" t="s">
        <v>49</v>
      </c>
      <c r="C1" t="s">
        <v>62</v>
      </c>
      <c r="E1" t="s">
        <v>50</v>
      </c>
      <c r="F1" t="s">
        <v>63</v>
      </c>
      <c r="G1" t="s">
        <v>64</v>
      </c>
    </row>
    <row r="2" spans="1:21" ht="57" customHeight="1">
      <c r="A2" s="1" t="s">
        <v>66</v>
      </c>
      <c r="E2" s="1" t="s">
        <v>66</v>
      </c>
      <c r="F2" t="s">
        <v>65</v>
      </c>
    </row>
    <row r="3" spans="1:21" ht="57" customHeight="1">
      <c r="A3" s="1" t="s">
        <v>0</v>
      </c>
      <c r="B3" s="1" t="s">
        <v>1</v>
      </c>
      <c r="E3" t="s">
        <v>42</v>
      </c>
      <c r="F3" t="s">
        <v>51</v>
      </c>
      <c r="G3">
        <v>40</v>
      </c>
    </row>
    <row r="4" spans="1:21" ht="57" customHeight="1">
      <c r="A4" s="1" t="s">
        <v>2</v>
      </c>
      <c r="B4" s="1" t="s">
        <v>3</v>
      </c>
      <c r="E4" t="s">
        <v>43</v>
      </c>
      <c r="F4" t="s">
        <v>52</v>
      </c>
    </row>
    <row r="5" spans="1:21" ht="57" customHeight="1">
      <c r="A5" s="1" t="s">
        <v>4</v>
      </c>
      <c r="B5" s="1" t="s">
        <v>5</v>
      </c>
      <c r="E5" t="s">
        <v>44</v>
      </c>
      <c r="F5" t="s">
        <v>53</v>
      </c>
    </row>
    <row r="6" spans="1:21" ht="57" customHeight="1">
      <c r="A6" s="1" t="s">
        <v>6</v>
      </c>
      <c r="B6" s="1" t="s">
        <v>7</v>
      </c>
      <c r="E6" s="1" t="s">
        <v>9</v>
      </c>
      <c r="F6" t="s">
        <v>54</v>
      </c>
      <c r="G6" t="s">
        <v>55</v>
      </c>
      <c r="J6" s="1" t="s">
        <v>8</v>
      </c>
    </row>
    <row r="7" spans="1:21" ht="57" customHeight="1">
      <c r="A7" s="1" t="s">
        <v>6</v>
      </c>
      <c r="B7" s="1" t="s">
        <v>7</v>
      </c>
      <c r="E7" s="1" t="s">
        <v>10</v>
      </c>
      <c r="F7" t="s">
        <v>54</v>
      </c>
      <c r="G7" t="s">
        <v>55</v>
      </c>
    </row>
    <row r="8" spans="1:21" ht="57" customHeight="1">
      <c r="A8" s="1" t="s">
        <v>6</v>
      </c>
      <c r="B8" s="1" t="s">
        <v>7</v>
      </c>
      <c r="E8" s="1" t="s">
        <v>11</v>
      </c>
      <c r="F8" t="s">
        <v>54</v>
      </c>
      <c r="G8" t="s">
        <v>55</v>
      </c>
    </row>
    <row r="9" spans="1:21" ht="57" customHeight="1">
      <c r="A9" s="1" t="s">
        <v>12</v>
      </c>
      <c r="B9" s="1" t="s">
        <v>13</v>
      </c>
      <c r="E9" s="1" t="s">
        <v>56</v>
      </c>
      <c r="F9" s="1" t="s">
        <v>54</v>
      </c>
      <c r="G9" s="1" t="s">
        <v>14</v>
      </c>
      <c r="H9" s="1" t="s">
        <v>15</v>
      </c>
      <c r="I9" s="1" t="s">
        <v>16</v>
      </c>
      <c r="J9" s="1" t="s">
        <v>17</v>
      </c>
      <c r="K9" s="1" t="s">
        <v>18</v>
      </c>
    </row>
    <row r="10" spans="1:21" ht="57" customHeight="1">
      <c r="A10" s="1" t="s">
        <v>19</v>
      </c>
      <c r="B10" s="1" t="s">
        <v>20</v>
      </c>
      <c r="E10" s="1" t="s">
        <v>45</v>
      </c>
      <c r="F10" s="1" t="s">
        <v>57</v>
      </c>
    </row>
    <row r="11" spans="1:21" ht="57" customHeight="1">
      <c r="A11" s="1" t="s">
        <v>21</v>
      </c>
      <c r="B11" s="1" t="s">
        <v>22</v>
      </c>
      <c r="E11" t="s">
        <v>46</v>
      </c>
      <c r="F11" t="s">
        <v>57</v>
      </c>
    </row>
    <row r="12" spans="1:21" ht="57" customHeight="1">
      <c r="A12" s="1" t="s">
        <v>23</v>
      </c>
      <c r="B12" s="1" t="s">
        <v>24</v>
      </c>
      <c r="C12" s="1" t="s">
        <v>25</v>
      </c>
      <c r="E12" t="s">
        <v>47</v>
      </c>
      <c r="F12" s="1" t="s">
        <v>65</v>
      </c>
    </row>
    <row r="13" spans="1:21" ht="57" customHeight="1">
      <c r="A13" s="1" t="s">
        <v>26</v>
      </c>
      <c r="B13" s="1" t="s">
        <v>28</v>
      </c>
      <c r="E13" s="1" t="s">
        <v>27</v>
      </c>
      <c r="F13" s="1" t="s">
        <v>51</v>
      </c>
    </row>
    <row r="14" spans="1:21" ht="57" customHeight="1">
      <c r="A14" s="1" t="s">
        <v>29</v>
      </c>
      <c r="E14" s="1" t="s">
        <v>54</v>
      </c>
      <c r="F14" s="1" t="s">
        <v>54</v>
      </c>
      <c r="G14" s="1" t="s">
        <v>30</v>
      </c>
      <c r="H14" s="1" t="s">
        <v>31</v>
      </c>
      <c r="I14" s="1" t="s">
        <v>58</v>
      </c>
      <c r="J14" s="1" t="s">
        <v>32</v>
      </c>
      <c r="K14" s="1" t="s">
        <v>33</v>
      </c>
      <c r="L14" s="1" t="s">
        <v>18</v>
      </c>
      <c r="O14" t="str">
        <f>CONCATENATE("'",G14,"',")</f>
        <v>'Responsive Web Development (HTML5/JSON/REST)',</v>
      </c>
      <c r="P14" t="str">
        <f t="shared" ref="P14:U15" si="0">CONCATENATE("'",H14,"',")</f>
        <v>'Native Mobile Application (iOS)',</v>
      </c>
      <c r="Q14" t="str">
        <f t="shared" si="0"/>
        <v>'E-Commerce Web Development',</v>
      </c>
      <c r="R14" t="str">
        <f t="shared" si="0"/>
        <v>'Database Architecture and Design',</v>
      </c>
      <c r="S14" t="str">
        <f t="shared" si="0"/>
        <v>'Bespoke Software Platform',</v>
      </c>
      <c r="T14" t="str">
        <f t="shared" si="0"/>
        <v>'Other:',</v>
      </c>
      <c r="U14" t="str">
        <f t="shared" si="0"/>
        <v>'',</v>
      </c>
    </row>
    <row r="15" spans="1:21" ht="57" customHeight="1">
      <c r="A15" s="1" t="s">
        <v>34</v>
      </c>
      <c r="E15" s="1" t="s">
        <v>54</v>
      </c>
      <c r="F15" s="1" t="s">
        <v>51</v>
      </c>
      <c r="G15" s="1" t="s">
        <v>59</v>
      </c>
      <c r="H15" s="1" t="s">
        <v>35</v>
      </c>
      <c r="I15" s="1" t="s">
        <v>36</v>
      </c>
      <c r="J15" s="1" t="s">
        <v>37</v>
      </c>
      <c r="K15" s="1" t="s">
        <v>60</v>
      </c>
      <c r="L15" s="1" t="s">
        <v>61</v>
      </c>
      <c r="M15" s="1" t="s">
        <v>38</v>
      </c>
      <c r="N15" s="1" t="s">
        <v>18</v>
      </c>
      <c r="O15" t="str">
        <f>CONCATENATE("'",G15,"',")</f>
        <v>'Python',</v>
      </c>
      <c r="P15" t="str">
        <f t="shared" si="0"/>
        <v>'JavaScript',</v>
      </c>
      <c r="Q15" t="str">
        <f t="shared" si="0"/>
        <v>'HTML5',</v>
      </c>
      <c r="R15" t="str">
        <f t="shared" si="0"/>
        <v>'SQL',</v>
      </c>
      <c r="S15" t="str">
        <f t="shared" si="0"/>
        <v>'Flask',</v>
      </c>
      <c r="T15" t="str">
        <f t="shared" si="0"/>
        <v>'Django',</v>
      </c>
      <c r="U15" t="str">
        <f t="shared" si="0"/>
        <v>'NoSQL',</v>
      </c>
    </row>
    <row r="16" spans="1:21" ht="57" customHeight="1">
      <c r="A16" s="1" t="s">
        <v>67</v>
      </c>
      <c r="E16" s="1"/>
    </row>
    <row r="17" spans="1:5" ht="57" customHeight="1">
      <c r="A17" s="1" t="s">
        <v>68</v>
      </c>
      <c r="E17" s="1"/>
    </row>
    <row r="18" spans="1:5" ht="57" customHeight="1">
      <c r="E18" s="1"/>
    </row>
    <row r="19" spans="1:5" ht="57" customHeight="1">
      <c r="E19" s="1"/>
    </row>
    <row r="20" spans="1:5" ht="57" customHeight="1">
      <c r="E20" s="1"/>
    </row>
    <row r="21" spans="1:5" ht="57" customHeight="1">
      <c r="E21" s="1"/>
    </row>
    <row r="22" spans="1:5" ht="57" customHeight="1">
      <c r="E22" s="1"/>
    </row>
    <row r="23" spans="1:5" ht="57" customHeight="1">
      <c r="E23" s="1"/>
    </row>
    <row r="24" spans="1:5" ht="57" customHeight="1">
      <c r="E24" s="1"/>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7"/>
  <sheetViews>
    <sheetView workbookViewId="0">
      <selection activeCell="A19" sqref="A19"/>
    </sheetView>
  </sheetViews>
  <sheetFormatPr baseColWidth="10" defaultRowHeight="15" x14ac:dyDescent="0"/>
  <sheetData>
    <row r="1" spans="1:1">
      <c r="A1" t="s">
        <v>39</v>
      </c>
    </row>
    <row r="9" spans="1:1">
      <c r="A9" t="s">
        <v>40</v>
      </c>
    </row>
    <row r="17" spans="1:1">
      <c r="A17" t="s">
        <v>41</v>
      </c>
    </row>
  </sheetData>
  <pageMargins left="0.75" right="0.75" top="1" bottom="1" header="0.5" footer="0.5"/>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8"/>
  <sheetViews>
    <sheetView topLeftCell="C1" workbookViewId="0">
      <selection activeCell="C2" sqref="C2"/>
    </sheetView>
  </sheetViews>
  <sheetFormatPr baseColWidth="10" defaultRowHeight="15" x14ac:dyDescent="0"/>
  <cols>
    <col min="1" max="1" width="28.1640625" style="2" customWidth="1"/>
    <col min="2" max="2" width="22.1640625" style="2" customWidth="1"/>
    <col min="3" max="3" width="14" style="2" customWidth="1"/>
    <col min="4" max="4" width="13.6640625" style="2" customWidth="1"/>
    <col min="5" max="16384" width="10.83203125" style="2"/>
  </cols>
  <sheetData>
    <row r="1" spans="1:24" ht="30">
      <c r="A1" s="2" t="s">
        <v>69</v>
      </c>
      <c r="B1" s="2" t="s">
        <v>69</v>
      </c>
      <c r="C1" s="2" t="s">
        <v>69</v>
      </c>
      <c r="D1" s="2" t="s">
        <v>69</v>
      </c>
      <c r="E1" s="2" t="s">
        <v>69</v>
      </c>
      <c r="F1" s="2" t="s">
        <v>69</v>
      </c>
      <c r="G1" s="2" t="s">
        <v>69</v>
      </c>
      <c r="H1" s="2" t="s">
        <v>69</v>
      </c>
      <c r="I1" s="2" t="s">
        <v>69</v>
      </c>
      <c r="J1" s="2" t="s">
        <v>69</v>
      </c>
      <c r="K1" s="2" t="s">
        <v>69</v>
      </c>
      <c r="L1" s="2" t="s">
        <v>69</v>
      </c>
      <c r="M1" s="2" t="s">
        <v>69</v>
      </c>
      <c r="N1" s="2" t="s">
        <v>69</v>
      </c>
      <c r="O1" s="2" t="s">
        <v>69</v>
      </c>
      <c r="P1" s="2" t="s">
        <v>69</v>
      </c>
      <c r="Q1" s="2" t="s">
        <v>69</v>
      </c>
      <c r="R1" s="2" t="s">
        <v>69</v>
      </c>
      <c r="S1" s="2" t="s">
        <v>69</v>
      </c>
      <c r="T1" s="2" t="s">
        <v>69</v>
      </c>
      <c r="U1" s="2" t="s">
        <v>69</v>
      </c>
      <c r="V1" s="2" t="s">
        <v>69</v>
      </c>
      <c r="W1" s="2" t="s">
        <v>69</v>
      </c>
    </row>
    <row r="2" spans="1:24">
      <c r="A2" s="2" t="s">
        <v>90</v>
      </c>
      <c r="B2" s="2">
        <v>100</v>
      </c>
      <c r="C2" s="2">
        <v>100</v>
      </c>
      <c r="D2" s="2">
        <v>102</v>
      </c>
      <c r="E2" s="2">
        <v>103</v>
      </c>
      <c r="F2" s="2">
        <v>104</v>
      </c>
      <c r="G2" s="2">
        <v>105</v>
      </c>
      <c r="H2" s="2">
        <v>106</v>
      </c>
      <c r="I2" s="2">
        <v>107</v>
      </c>
      <c r="J2" s="2">
        <v>108</v>
      </c>
      <c r="K2" s="2">
        <v>109</v>
      </c>
      <c r="L2" s="2">
        <v>110</v>
      </c>
      <c r="M2" s="2">
        <v>111</v>
      </c>
      <c r="N2" s="2">
        <v>112</v>
      </c>
      <c r="O2" s="2">
        <v>113</v>
      </c>
      <c r="P2" s="2">
        <v>114</v>
      </c>
      <c r="Q2" s="2">
        <v>115</v>
      </c>
      <c r="R2" s="2">
        <v>116</v>
      </c>
      <c r="S2" s="2">
        <v>117</v>
      </c>
      <c r="T2" s="2">
        <v>118</v>
      </c>
      <c r="U2" s="2">
        <v>119</v>
      </c>
      <c r="V2" s="2">
        <v>120</v>
      </c>
      <c r="W2" s="2">
        <v>121</v>
      </c>
    </row>
    <row r="3" spans="1:24" ht="30">
      <c r="A3" s="2" t="s">
        <v>107</v>
      </c>
      <c r="B3" s="2" t="s">
        <v>72</v>
      </c>
      <c r="C3" s="3" t="s">
        <v>71</v>
      </c>
      <c r="D3" s="3" t="s">
        <v>73</v>
      </c>
      <c r="E3" s="2" t="s">
        <v>72</v>
      </c>
      <c r="F3" s="3" t="s">
        <v>71</v>
      </c>
      <c r="G3" s="3" t="s">
        <v>73</v>
      </c>
      <c r="H3" s="2" t="s">
        <v>72</v>
      </c>
      <c r="I3" s="3" t="s">
        <v>71</v>
      </c>
      <c r="J3" s="3" t="s">
        <v>73</v>
      </c>
      <c r="K3" s="2" t="s">
        <v>72</v>
      </c>
      <c r="L3" s="3" t="s">
        <v>71</v>
      </c>
      <c r="M3" s="3" t="s">
        <v>73</v>
      </c>
      <c r="N3" s="3" t="s">
        <v>73</v>
      </c>
      <c r="O3" s="3" t="s">
        <v>73</v>
      </c>
      <c r="P3" s="3" t="s">
        <v>73</v>
      </c>
      <c r="Q3" s="3" t="s">
        <v>73</v>
      </c>
      <c r="R3" s="3" t="s">
        <v>73</v>
      </c>
      <c r="S3" s="3" t="s">
        <v>73</v>
      </c>
      <c r="T3" s="3" t="s">
        <v>73</v>
      </c>
      <c r="U3" s="3" t="s">
        <v>73</v>
      </c>
      <c r="V3" s="3" t="s">
        <v>73</v>
      </c>
      <c r="W3" s="3" t="s">
        <v>73</v>
      </c>
    </row>
    <row r="4" spans="1:24" ht="45">
      <c r="A4" s="2" t="s">
        <v>108</v>
      </c>
      <c r="B4" s="2" t="s">
        <v>74</v>
      </c>
      <c r="C4" s="4" t="s">
        <v>70</v>
      </c>
      <c r="D4" s="4" t="s">
        <v>70</v>
      </c>
      <c r="E4" s="4" t="s">
        <v>70</v>
      </c>
      <c r="F4" s="4" t="s">
        <v>70</v>
      </c>
      <c r="G4" s="4" t="s">
        <v>70</v>
      </c>
      <c r="H4" s="4" t="s">
        <v>70</v>
      </c>
      <c r="I4" s="4" t="s">
        <v>70</v>
      </c>
      <c r="J4" s="4" t="s">
        <v>70</v>
      </c>
      <c r="K4" s="4" t="s">
        <v>70</v>
      </c>
      <c r="L4" s="4" t="s">
        <v>70</v>
      </c>
      <c r="M4" s="4" t="s">
        <v>70</v>
      </c>
      <c r="N4" s="4" t="s">
        <v>70</v>
      </c>
      <c r="O4" s="4" t="s">
        <v>70</v>
      </c>
      <c r="P4" s="4" t="s">
        <v>70</v>
      </c>
      <c r="Q4" s="4" t="s">
        <v>70</v>
      </c>
      <c r="R4" s="4" t="s">
        <v>70</v>
      </c>
      <c r="S4" s="4" t="s">
        <v>70</v>
      </c>
      <c r="T4" s="4" t="s">
        <v>70</v>
      </c>
      <c r="U4" s="4" t="s">
        <v>70</v>
      </c>
      <c r="V4" s="4" t="s">
        <v>70</v>
      </c>
      <c r="W4" s="4" t="s">
        <v>70</v>
      </c>
    </row>
    <row r="5" spans="1:24" ht="30">
      <c r="A5" s="2" t="s">
        <v>109</v>
      </c>
      <c r="B5" s="2" t="s">
        <v>75</v>
      </c>
      <c r="C5" s="2" t="s">
        <v>75</v>
      </c>
      <c r="D5" s="2" t="s">
        <v>75</v>
      </c>
      <c r="E5" s="2" t="s">
        <v>75</v>
      </c>
      <c r="F5" s="2" t="s">
        <v>75</v>
      </c>
      <c r="G5" s="2" t="s">
        <v>75</v>
      </c>
      <c r="H5" s="2" t="s">
        <v>75</v>
      </c>
      <c r="I5" s="2" t="s">
        <v>75</v>
      </c>
      <c r="J5" s="2" t="s">
        <v>75</v>
      </c>
      <c r="K5" s="2" t="s">
        <v>75</v>
      </c>
      <c r="L5" s="2" t="s">
        <v>75</v>
      </c>
      <c r="M5" s="2" t="s">
        <v>75</v>
      </c>
      <c r="N5" s="2" t="s">
        <v>75</v>
      </c>
      <c r="O5" s="2" t="s">
        <v>75</v>
      </c>
      <c r="P5" s="2" t="s">
        <v>75</v>
      </c>
      <c r="Q5" s="2" t="s">
        <v>75</v>
      </c>
      <c r="R5" s="2" t="s">
        <v>75</v>
      </c>
      <c r="S5" s="2" t="s">
        <v>75</v>
      </c>
      <c r="T5" s="2" t="s">
        <v>75</v>
      </c>
      <c r="U5" s="2" t="s">
        <v>75</v>
      </c>
      <c r="V5" s="2" t="s">
        <v>75</v>
      </c>
      <c r="W5" s="2" t="s">
        <v>75</v>
      </c>
    </row>
    <row r="6" spans="1:24">
      <c r="A6" s="2" t="s">
        <v>110</v>
      </c>
      <c r="B6" s="2" t="s">
        <v>91</v>
      </c>
      <c r="C6" s="2" t="s">
        <v>92</v>
      </c>
      <c r="D6" s="2" t="s">
        <v>93</v>
      </c>
      <c r="E6" s="2" t="s">
        <v>93</v>
      </c>
      <c r="F6" s="2" t="s">
        <v>91</v>
      </c>
      <c r="G6" s="2" t="s">
        <v>92</v>
      </c>
      <c r="H6" s="2" t="s">
        <v>93</v>
      </c>
      <c r="I6" s="2" t="s">
        <v>93</v>
      </c>
      <c r="J6" s="2" t="s">
        <v>91</v>
      </c>
      <c r="K6" s="2" t="s">
        <v>91</v>
      </c>
      <c r="L6" s="2" t="s">
        <v>92</v>
      </c>
      <c r="M6" s="2" t="s">
        <v>92</v>
      </c>
      <c r="N6" s="2" t="s">
        <v>92</v>
      </c>
      <c r="O6" s="2" t="s">
        <v>92</v>
      </c>
      <c r="P6" s="2" t="s">
        <v>92</v>
      </c>
      <c r="Q6" s="2" t="s">
        <v>92</v>
      </c>
      <c r="R6" s="2" t="s">
        <v>92</v>
      </c>
      <c r="S6" s="2" t="s">
        <v>92</v>
      </c>
      <c r="T6" s="2" t="s">
        <v>92</v>
      </c>
      <c r="U6" s="2" t="s">
        <v>92</v>
      </c>
      <c r="V6" s="2" t="s">
        <v>92</v>
      </c>
      <c r="W6" s="2" t="s">
        <v>92</v>
      </c>
    </row>
    <row r="7" spans="1:24">
      <c r="A7" s="2" t="s">
        <v>111</v>
      </c>
      <c r="B7" s="2" t="s">
        <v>92</v>
      </c>
      <c r="C7" s="2" t="s">
        <v>91</v>
      </c>
      <c r="D7" s="2" t="s">
        <v>92</v>
      </c>
      <c r="E7" s="2" t="s">
        <v>93</v>
      </c>
      <c r="F7" s="2" t="s">
        <v>92</v>
      </c>
      <c r="G7" s="2" t="s">
        <v>91</v>
      </c>
      <c r="H7" s="2" t="s">
        <v>92</v>
      </c>
      <c r="I7" s="2" t="s">
        <v>93</v>
      </c>
      <c r="J7" s="2" t="s">
        <v>91</v>
      </c>
      <c r="K7" s="2" t="s">
        <v>92</v>
      </c>
      <c r="L7" s="2" t="s">
        <v>93</v>
      </c>
      <c r="M7" s="2" t="s">
        <v>93</v>
      </c>
      <c r="N7" s="2" t="s">
        <v>93</v>
      </c>
      <c r="O7" s="2" t="s">
        <v>93</v>
      </c>
      <c r="P7" s="2" t="s">
        <v>93</v>
      </c>
      <c r="Q7" s="2" t="s">
        <v>93</v>
      </c>
      <c r="R7" s="2" t="s">
        <v>93</v>
      </c>
      <c r="S7" s="2" t="s">
        <v>93</v>
      </c>
      <c r="T7" s="2" t="s">
        <v>93</v>
      </c>
      <c r="U7" s="2" t="s">
        <v>93</v>
      </c>
      <c r="V7" s="2" t="s">
        <v>93</v>
      </c>
      <c r="W7" s="2" t="s">
        <v>93</v>
      </c>
    </row>
    <row r="8" spans="1:24">
      <c r="A8" s="2" t="s">
        <v>112</v>
      </c>
      <c r="B8" s="2" t="s">
        <v>93</v>
      </c>
      <c r="C8" s="2" t="s">
        <v>92</v>
      </c>
      <c r="D8" s="2" t="s">
        <v>91</v>
      </c>
      <c r="E8" s="2" t="s">
        <v>92</v>
      </c>
      <c r="F8" s="2" t="s">
        <v>93</v>
      </c>
      <c r="G8" s="2" t="s">
        <v>92</v>
      </c>
      <c r="H8" s="2" t="s">
        <v>91</v>
      </c>
      <c r="I8" s="2" t="s">
        <v>92</v>
      </c>
      <c r="J8" s="2" t="s">
        <v>93</v>
      </c>
      <c r="K8" s="2" t="s">
        <v>91</v>
      </c>
      <c r="L8" s="2" t="s">
        <v>92</v>
      </c>
      <c r="M8" s="2" t="s">
        <v>92</v>
      </c>
      <c r="N8" s="2" t="s">
        <v>92</v>
      </c>
      <c r="O8" s="2" t="s">
        <v>92</v>
      </c>
      <c r="P8" s="2" t="s">
        <v>92</v>
      </c>
      <c r="Q8" s="2" t="s">
        <v>92</v>
      </c>
      <c r="R8" s="2" t="s">
        <v>92</v>
      </c>
      <c r="S8" s="2" t="s">
        <v>92</v>
      </c>
      <c r="T8" s="2" t="s">
        <v>92</v>
      </c>
      <c r="U8" s="2" t="s">
        <v>92</v>
      </c>
      <c r="V8" s="2" t="s">
        <v>92</v>
      </c>
      <c r="W8" s="2" t="s">
        <v>92</v>
      </c>
    </row>
    <row r="9" spans="1:24" ht="30">
      <c r="A9" s="2" t="s">
        <v>113</v>
      </c>
      <c r="B9" s="2" t="s">
        <v>76</v>
      </c>
      <c r="C9" s="2" t="s">
        <v>76</v>
      </c>
      <c r="D9" s="2" t="s">
        <v>76</v>
      </c>
      <c r="E9" s="2" t="s">
        <v>76</v>
      </c>
      <c r="F9" s="2" t="s">
        <v>76</v>
      </c>
      <c r="G9" s="2" t="s">
        <v>76</v>
      </c>
      <c r="H9" s="2" t="s">
        <v>76</v>
      </c>
      <c r="I9" s="2" t="s">
        <v>76</v>
      </c>
      <c r="J9" s="2" t="s">
        <v>76</v>
      </c>
      <c r="K9" s="2" t="s">
        <v>76</v>
      </c>
      <c r="L9" s="2" t="s">
        <v>76</v>
      </c>
      <c r="M9" s="2" t="s">
        <v>76</v>
      </c>
      <c r="N9" s="2" t="s">
        <v>76</v>
      </c>
      <c r="O9" s="2" t="s">
        <v>76</v>
      </c>
      <c r="P9" s="2" t="s">
        <v>76</v>
      </c>
      <c r="Q9" s="2" t="s">
        <v>76</v>
      </c>
      <c r="R9" s="2" t="s">
        <v>76</v>
      </c>
      <c r="S9" s="2" t="s">
        <v>76</v>
      </c>
      <c r="T9" s="2" t="s">
        <v>76</v>
      </c>
      <c r="U9" s="2" t="s">
        <v>76</v>
      </c>
      <c r="V9" s="2" t="s">
        <v>76</v>
      </c>
      <c r="W9" s="2" t="s">
        <v>76</v>
      </c>
    </row>
    <row r="10" spans="1:24" ht="30">
      <c r="A10" s="2" t="s">
        <v>114</v>
      </c>
      <c r="B10" s="2" t="s">
        <v>76</v>
      </c>
      <c r="C10" s="2" t="s">
        <v>76</v>
      </c>
      <c r="D10" s="2" t="s">
        <v>76</v>
      </c>
      <c r="E10" s="2" t="s">
        <v>76</v>
      </c>
      <c r="F10" s="2" t="s">
        <v>76</v>
      </c>
      <c r="G10" s="2" t="s">
        <v>76</v>
      </c>
      <c r="H10" s="2" t="s">
        <v>76</v>
      </c>
      <c r="I10" s="2" t="s">
        <v>76</v>
      </c>
      <c r="J10" s="2" t="s">
        <v>76</v>
      </c>
      <c r="K10" s="2" t="s">
        <v>76</v>
      </c>
      <c r="L10" s="2" t="s">
        <v>76</v>
      </c>
      <c r="M10" s="2" t="s">
        <v>76</v>
      </c>
      <c r="N10" s="2" t="s">
        <v>76</v>
      </c>
      <c r="O10" s="2" t="s">
        <v>76</v>
      </c>
      <c r="P10" s="2" t="s">
        <v>76</v>
      </c>
      <c r="Q10" s="2" t="s">
        <v>76</v>
      </c>
      <c r="R10" s="2" t="s">
        <v>76</v>
      </c>
      <c r="S10" s="2" t="s">
        <v>76</v>
      </c>
      <c r="T10" s="2" t="s">
        <v>76</v>
      </c>
      <c r="U10" s="2" t="s">
        <v>76</v>
      </c>
      <c r="V10" s="2" t="s">
        <v>76</v>
      </c>
      <c r="W10" s="2" t="s">
        <v>76</v>
      </c>
    </row>
    <row r="11" spans="1:24">
      <c r="A11" s="2" t="s">
        <v>115</v>
      </c>
      <c r="B11" s="2" t="s">
        <v>77</v>
      </c>
      <c r="C11" s="3" t="s">
        <v>82</v>
      </c>
      <c r="D11" s="3" t="s">
        <v>83</v>
      </c>
      <c r="E11" s="2" t="s">
        <v>77</v>
      </c>
      <c r="F11" s="3" t="s">
        <v>82</v>
      </c>
      <c r="G11" s="3" t="s">
        <v>83</v>
      </c>
      <c r="H11" s="2" t="s">
        <v>77</v>
      </c>
      <c r="I11" s="3" t="s">
        <v>82</v>
      </c>
      <c r="J11" s="3" t="s">
        <v>83</v>
      </c>
      <c r="K11" s="2" t="s">
        <v>77</v>
      </c>
      <c r="L11" s="3" t="s">
        <v>82</v>
      </c>
      <c r="M11" s="3" t="s">
        <v>83</v>
      </c>
      <c r="N11" s="3" t="s">
        <v>83</v>
      </c>
      <c r="O11" s="3" t="s">
        <v>83</v>
      </c>
      <c r="P11" s="3" t="s">
        <v>83</v>
      </c>
      <c r="Q11" s="3" t="s">
        <v>83</v>
      </c>
      <c r="R11" s="3" t="s">
        <v>83</v>
      </c>
      <c r="S11" s="3" t="s">
        <v>83</v>
      </c>
      <c r="T11" s="3" t="s">
        <v>83</v>
      </c>
      <c r="U11" s="3" t="s">
        <v>83</v>
      </c>
      <c r="V11" s="3" t="s">
        <v>83</v>
      </c>
      <c r="W11" s="3" t="s">
        <v>83</v>
      </c>
    </row>
    <row r="12" spans="1:24" ht="71" customHeight="1">
      <c r="A12" s="2" t="s">
        <v>116</v>
      </c>
      <c r="B12" s="2" t="s">
        <v>78</v>
      </c>
      <c r="C12" s="3" t="s">
        <v>84</v>
      </c>
      <c r="D12" s="3" t="s">
        <v>85</v>
      </c>
      <c r="E12" s="3" t="s">
        <v>86</v>
      </c>
      <c r="F12" s="2" t="s">
        <v>78</v>
      </c>
      <c r="G12" s="3" t="s">
        <v>84</v>
      </c>
      <c r="H12" s="3" t="s">
        <v>85</v>
      </c>
      <c r="I12" s="3" t="s">
        <v>86</v>
      </c>
      <c r="J12" s="2" t="s">
        <v>78</v>
      </c>
      <c r="K12" s="3" t="s">
        <v>84</v>
      </c>
      <c r="L12" s="3" t="s">
        <v>85</v>
      </c>
      <c r="M12" s="3" t="s">
        <v>86</v>
      </c>
      <c r="N12" s="3" t="s">
        <v>86</v>
      </c>
      <c r="O12" s="3" t="s">
        <v>86</v>
      </c>
      <c r="P12" s="3" t="s">
        <v>86</v>
      </c>
      <c r="Q12" s="3" t="s">
        <v>86</v>
      </c>
      <c r="R12" s="3" t="s">
        <v>86</v>
      </c>
      <c r="S12" s="3" t="s">
        <v>86</v>
      </c>
      <c r="T12" s="3" t="s">
        <v>86</v>
      </c>
      <c r="U12" s="3" t="s">
        <v>86</v>
      </c>
      <c r="V12" s="3" t="s">
        <v>86</v>
      </c>
      <c r="W12" s="3" t="s">
        <v>86</v>
      </c>
    </row>
    <row r="13" spans="1:24" ht="105">
      <c r="A13" s="2" t="s">
        <v>117</v>
      </c>
      <c r="B13" s="2" t="s">
        <v>94</v>
      </c>
      <c r="C13" s="2" t="s">
        <v>95</v>
      </c>
      <c r="D13" s="2" t="s">
        <v>96</v>
      </c>
      <c r="E13" s="2" t="s">
        <v>97</v>
      </c>
      <c r="F13" s="2" t="s">
        <v>98</v>
      </c>
      <c r="G13" s="2" t="s">
        <v>99</v>
      </c>
      <c r="H13" s="2" t="s">
        <v>94</v>
      </c>
      <c r="I13" s="2" t="s">
        <v>95</v>
      </c>
      <c r="J13" s="2" t="s">
        <v>96</v>
      </c>
      <c r="K13" s="2" t="s">
        <v>97</v>
      </c>
      <c r="L13" s="2" t="s">
        <v>98</v>
      </c>
      <c r="M13" s="2" t="s">
        <v>99</v>
      </c>
      <c r="N13" s="2" t="s">
        <v>98</v>
      </c>
      <c r="O13" s="2" t="s">
        <v>99</v>
      </c>
      <c r="P13" s="2" t="s">
        <v>94</v>
      </c>
      <c r="Q13" s="2" t="s">
        <v>95</v>
      </c>
      <c r="R13" s="2" t="s">
        <v>98</v>
      </c>
      <c r="S13" s="2" t="s">
        <v>99</v>
      </c>
      <c r="T13" s="2" t="s">
        <v>94</v>
      </c>
      <c r="U13" s="2" t="s">
        <v>95</v>
      </c>
      <c r="V13" s="2" t="s">
        <v>96</v>
      </c>
      <c r="W13" s="2" t="s">
        <v>97</v>
      </c>
    </row>
    <row r="14" spans="1:24" ht="30">
      <c r="A14" s="2" t="s">
        <v>118</v>
      </c>
      <c r="B14" s="2" t="s">
        <v>104</v>
      </c>
      <c r="C14" s="2" t="s">
        <v>105</v>
      </c>
      <c r="D14" s="2" t="s">
        <v>106</v>
      </c>
      <c r="E14" s="2" t="s">
        <v>101</v>
      </c>
      <c r="F14" s="2" t="s">
        <v>102</v>
      </c>
      <c r="G14" s="2" t="s">
        <v>103</v>
      </c>
      <c r="H14" s="2" t="s">
        <v>104</v>
      </c>
      <c r="I14" s="2" t="s">
        <v>105</v>
      </c>
      <c r="J14" s="2" t="s">
        <v>106</v>
      </c>
      <c r="K14" s="2" t="s">
        <v>100</v>
      </c>
      <c r="L14" s="2" t="s">
        <v>101</v>
      </c>
      <c r="M14" s="2" t="s">
        <v>102</v>
      </c>
      <c r="N14" s="2" t="s">
        <v>102</v>
      </c>
      <c r="O14" s="2" t="s">
        <v>102</v>
      </c>
      <c r="P14" s="2" t="s">
        <v>102</v>
      </c>
      <c r="Q14" s="2" t="s">
        <v>102</v>
      </c>
      <c r="R14" s="2" t="s">
        <v>103</v>
      </c>
      <c r="S14" s="2" t="s">
        <v>104</v>
      </c>
      <c r="T14" s="2" t="s">
        <v>105</v>
      </c>
      <c r="U14" s="2" t="s">
        <v>106</v>
      </c>
      <c r="V14" s="2" t="s">
        <v>100</v>
      </c>
      <c r="W14" s="2" t="s">
        <v>101</v>
      </c>
    </row>
    <row r="15" spans="1:24">
      <c r="A15" s="2" t="s">
        <v>119</v>
      </c>
      <c r="B15" s="2" t="s">
        <v>79</v>
      </c>
      <c r="C15" s="3" t="s">
        <v>87</v>
      </c>
      <c r="D15" s="3" t="s">
        <v>88</v>
      </c>
      <c r="E15" s="2" t="s">
        <v>79</v>
      </c>
      <c r="F15" s="3" t="s">
        <v>87</v>
      </c>
      <c r="G15" s="3" t="s">
        <v>88</v>
      </c>
      <c r="H15" s="2" t="s">
        <v>79</v>
      </c>
      <c r="I15" s="3" t="s">
        <v>87</v>
      </c>
      <c r="J15" s="3" t="s">
        <v>88</v>
      </c>
      <c r="K15" s="2" t="s">
        <v>79</v>
      </c>
      <c r="L15" s="3" t="s">
        <v>87</v>
      </c>
      <c r="M15" s="3" t="s">
        <v>88</v>
      </c>
      <c r="N15" s="3" t="s">
        <v>88</v>
      </c>
      <c r="O15" s="3" t="s">
        <v>88</v>
      </c>
      <c r="P15" s="3" t="s">
        <v>88</v>
      </c>
      <c r="Q15" s="3" t="s">
        <v>87</v>
      </c>
      <c r="R15" s="3" t="s">
        <v>88</v>
      </c>
      <c r="S15" s="2" t="s">
        <v>79</v>
      </c>
      <c r="T15" s="3" t="s">
        <v>87</v>
      </c>
      <c r="U15" s="3" t="s">
        <v>88</v>
      </c>
      <c r="V15" s="2" t="s">
        <v>79</v>
      </c>
      <c r="W15" s="3" t="s">
        <v>87</v>
      </c>
      <c r="X15" s="3"/>
    </row>
    <row r="16" spans="1:24" ht="90">
      <c r="A16" s="2" t="s">
        <v>120</v>
      </c>
      <c r="B16" s="2" t="s">
        <v>80</v>
      </c>
      <c r="C16" s="2" t="s">
        <v>80</v>
      </c>
      <c r="D16" s="2" t="s">
        <v>80</v>
      </c>
      <c r="E16" s="2" t="s">
        <v>80</v>
      </c>
      <c r="F16" s="2" t="s">
        <v>80</v>
      </c>
      <c r="G16" s="2" t="s">
        <v>80</v>
      </c>
      <c r="H16" s="2" t="s">
        <v>80</v>
      </c>
      <c r="I16" s="2" t="s">
        <v>80</v>
      </c>
      <c r="J16" s="2" t="s">
        <v>80</v>
      </c>
      <c r="K16" s="2" t="s">
        <v>80</v>
      </c>
      <c r="L16" s="2" t="s">
        <v>80</v>
      </c>
      <c r="M16" s="2" t="s">
        <v>80</v>
      </c>
      <c r="N16" s="2" t="s">
        <v>80</v>
      </c>
      <c r="O16" s="2" t="s">
        <v>80</v>
      </c>
      <c r="P16" s="2" t="s">
        <v>80</v>
      </c>
      <c r="Q16" s="2" t="s">
        <v>80</v>
      </c>
      <c r="R16" s="2" t="s">
        <v>80</v>
      </c>
      <c r="S16" s="2" t="s">
        <v>80</v>
      </c>
      <c r="T16" s="2" t="s">
        <v>80</v>
      </c>
      <c r="U16" s="2" t="s">
        <v>80</v>
      </c>
      <c r="V16" s="2" t="s">
        <v>80</v>
      </c>
      <c r="W16" s="2" t="s">
        <v>80</v>
      </c>
    </row>
    <row r="17" spans="1:23" ht="60">
      <c r="A17" s="2" t="s">
        <v>121</v>
      </c>
      <c r="B17" s="2" t="s">
        <v>81</v>
      </c>
      <c r="C17" s="2" t="s">
        <v>81</v>
      </c>
      <c r="D17" s="2" t="s">
        <v>81</v>
      </c>
      <c r="E17" s="2" t="s">
        <v>81</v>
      </c>
      <c r="F17" s="2" t="s">
        <v>81</v>
      </c>
      <c r="G17" s="2" t="s">
        <v>81</v>
      </c>
      <c r="H17" s="2" t="s">
        <v>81</v>
      </c>
      <c r="I17" s="2" t="s">
        <v>81</v>
      </c>
      <c r="J17" s="2" t="s">
        <v>81</v>
      </c>
      <c r="K17" s="2" t="s">
        <v>81</v>
      </c>
      <c r="L17" s="2" t="s">
        <v>81</v>
      </c>
      <c r="M17" s="2" t="s">
        <v>81</v>
      </c>
      <c r="N17" s="2" t="s">
        <v>81</v>
      </c>
      <c r="O17" s="2" t="s">
        <v>81</v>
      </c>
      <c r="P17" s="2" t="s">
        <v>81</v>
      </c>
      <c r="Q17" s="2" t="s">
        <v>81</v>
      </c>
      <c r="R17" s="2" t="s">
        <v>81</v>
      </c>
      <c r="S17" s="2" t="s">
        <v>81</v>
      </c>
      <c r="T17" s="2" t="s">
        <v>81</v>
      </c>
      <c r="U17" s="2" t="s">
        <v>81</v>
      </c>
      <c r="V17" s="2" t="s">
        <v>81</v>
      </c>
      <c r="W17" s="2" t="s">
        <v>81</v>
      </c>
    </row>
    <row r="18" spans="1:23">
      <c r="A18" s="2" t="s">
        <v>89</v>
      </c>
      <c r="B18" s="2" t="s">
        <v>89</v>
      </c>
      <c r="C18" s="2" t="s">
        <v>89</v>
      </c>
      <c r="D18" s="2" t="s">
        <v>89</v>
      </c>
      <c r="E18" s="2" t="s">
        <v>89</v>
      </c>
      <c r="F18" s="2" t="s">
        <v>89</v>
      </c>
      <c r="G18" s="2" t="s">
        <v>89</v>
      </c>
      <c r="H18" s="2" t="s">
        <v>89</v>
      </c>
      <c r="I18" s="2" t="s">
        <v>89</v>
      </c>
      <c r="J18" s="2" t="s">
        <v>89</v>
      </c>
      <c r="K18" s="2" t="s">
        <v>89</v>
      </c>
      <c r="L18" s="2" t="s">
        <v>89</v>
      </c>
      <c r="M18" s="2" t="s">
        <v>89</v>
      </c>
      <c r="N18" s="2" t="s">
        <v>89</v>
      </c>
      <c r="O18" s="2" t="s">
        <v>89</v>
      </c>
      <c r="P18" s="2" t="s">
        <v>89</v>
      </c>
      <c r="Q18" s="2" t="s">
        <v>89</v>
      </c>
      <c r="R18" s="2" t="s">
        <v>89</v>
      </c>
      <c r="S18" s="2" t="s">
        <v>89</v>
      </c>
      <c r="T18" s="2" t="s">
        <v>89</v>
      </c>
      <c r="U18" s="2" t="s">
        <v>89</v>
      </c>
      <c r="V18" s="2" t="s">
        <v>89</v>
      </c>
      <c r="W18" s="2" t="s">
        <v>89</v>
      </c>
    </row>
  </sheetData>
  <hyperlinks>
    <hyperlink ref="C4" r:id="rId1" display="random@email.com"/>
    <hyperlink ref="D4:M4" r:id="rId2" display="random@email.com"/>
    <hyperlink ref="N4" r:id="rId3" display="random@email.com"/>
    <hyperlink ref="O4" r:id="rId4" display="random@email.com"/>
    <hyperlink ref="P4" r:id="rId5" display="random@email.com"/>
    <hyperlink ref="Q4" r:id="rId6" display="random@email.com"/>
    <hyperlink ref="R4" r:id="rId7" display="random@email.com"/>
    <hyperlink ref="S4" r:id="rId8" display="random@email.com"/>
    <hyperlink ref="T4" r:id="rId9" display="random@email.com"/>
    <hyperlink ref="U4" r:id="rId10" display="random@email.com"/>
    <hyperlink ref="V4" r:id="rId11" display="random@email.com"/>
    <hyperlink ref="W4" r:id="rId12" display="random@email.com"/>
  </hyperlink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selection activeCell="A2" sqref="A2:Q2"/>
    </sheetView>
  </sheetViews>
  <sheetFormatPr baseColWidth="10" defaultRowHeight="15" x14ac:dyDescent="0"/>
  <cols>
    <col min="1" max="1" width="23.6640625" customWidth="1"/>
    <col min="3" max="3" width="16" customWidth="1"/>
    <col min="5" max="5" width="10.1640625" customWidth="1"/>
  </cols>
  <sheetData>
    <row r="1" spans="1:22">
      <c r="A1" t="str">
        <f>Sheet3!$A$1</f>
        <v>coll.insert({</v>
      </c>
      <c r="B1" t="str">
        <f>Sheet3!$A$1</f>
        <v>coll.insert({</v>
      </c>
      <c r="C1" t="str">
        <f>Sheet3!$A$1</f>
        <v>coll.insert({</v>
      </c>
      <c r="D1" t="str">
        <f>Sheet3!$A$1</f>
        <v>coll.insert({</v>
      </c>
      <c r="E1" t="str">
        <f>Sheet3!$A$1</f>
        <v>coll.insert({</v>
      </c>
      <c r="F1" t="str">
        <f>Sheet3!$A$1</f>
        <v>coll.insert({</v>
      </c>
      <c r="G1" t="str">
        <f>Sheet3!$A$1</f>
        <v>coll.insert({</v>
      </c>
      <c r="H1" t="str">
        <f>Sheet3!$A$1</f>
        <v>coll.insert({</v>
      </c>
      <c r="I1" t="str">
        <f>Sheet3!$A$1</f>
        <v>coll.insert({</v>
      </c>
      <c r="J1" t="str">
        <f>Sheet3!$A$1</f>
        <v>coll.insert({</v>
      </c>
      <c r="K1" t="str">
        <f>Sheet3!$A$1</f>
        <v>coll.insert({</v>
      </c>
      <c r="L1" t="str">
        <f>Sheet3!$A$1</f>
        <v>coll.insert({</v>
      </c>
      <c r="M1" t="str">
        <f>Sheet3!$A$1</f>
        <v>coll.insert({</v>
      </c>
      <c r="N1" t="str">
        <f>Sheet3!$A$1</f>
        <v>coll.insert({</v>
      </c>
      <c r="O1" t="str">
        <f>Sheet3!$A$1</f>
        <v>coll.insert({</v>
      </c>
      <c r="P1" t="str">
        <f>Sheet3!$A$1</f>
        <v>coll.insert({</v>
      </c>
      <c r="Q1" t="str">
        <f>Sheet3!$A$1</f>
        <v>coll.insert({</v>
      </c>
      <c r="R1" t="str">
        <f>Sheet3!$A$1</f>
        <v>coll.insert({</v>
      </c>
      <c r="S1" t="str">
        <f>Sheet3!$A$1</f>
        <v>coll.insert({</v>
      </c>
      <c r="T1" t="str">
        <f>Sheet3!$A$1</f>
        <v>coll.insert({</v>
      </c>
      <c r="U1" t="str">
        <f>Sheet3!$A$1</f>
        <v>coll.insert({</v>
      </c>
      <c r="V1" t="str">
        <f>Sheet3!$A$1</f>
        <v>coll.insert({</v>
      </c>
    </row>
    <row r="2" spans="1:22">
      <c r="A2" t="str">
        <f>CONCATENATE(Sheet3!$A2,"'",Sheet3!B2,"',")</f>
        <v>quoteId:'100',</v>
      </c>
      <c r="B2" t="str">
        <f>CONCATENATE(Sheet3!$A2,"'",Sheet3!C2,"',")</f>
        <v>quoteId:'100',</v>
      </c>
      <c r="C2" t="str">
        <f>CONCATENATE(Sheet3!$A2,"'",Sheet3!D2,"',")</f>
        <v>quoteId:'102',</v>
      </c>
      <c r="D2" t="str">
        <f>CONCATENATE(Sheet3!$A2,"'",Sheet3!E2,"',")</f>
        <v>quoteId:'103',</v>
      </c>
      <c r="E2" t="str">
        <f>CONCATENATE(Sheet3!$A2,"'",Sheet3!F2,"',")</f>
        <v>quoteId:'104',</v>
      </c>
      <c r="F2" t="str">
        <f>CONCATENATE(Sheet3!$A2,"'",Sheet3!G2,"',")</f>
        <v>quoteId:'105',</v>
      </c>
      <c r="G2" t="str">
        <f>CONCATENATE(Sheet3!$A2,"'",Sheet3!H2,"',")</f>
        <v>quoteId:'106',</v>
      </c>
      <c r="H2" t="str">
        <f>CONCATENATE(Sheet3!$A2,"'",Sheet3!I2,"',")</f>
        <v>quoteId:'107',</v>
      </c>
      <c r="I2" t="str">
        <f>CONCATENATE(Sheet3!$A2,"'",Sheet3!J2,"',")</f>
        <v>quoteId:'108',</v>
      </c>
      <c r="J2" t="str">
        <f>CONCATENATE(Sheet3!$A2,"'",Sheet3!K2,"',")</f>
        <v>quoteId:'109',</v>
      </c>
      <c r="K2" t="str">
        <f>CONCATENATE(Sheet3!$A2,"'",Sheet3!L2,"',")</f>
        <v>quoteId:'110',</v>
      </c>
      <c r="L2" t="str">
        <f>CONCATENATE(Sheet3!$A2,"'",Sheet3!M2,"',")</f>
        <v>quoteId:'111',</v>
      </c>
      <c r="M2" t="str">
        <f>CONCATENATE(Sheet3!$A2,"'",Sheet3!N2,"',")</f>
        <v>quoteId:'112',</v>
      </c>
      <c r="N2" t="str">
        <f>CONCATENATE(Sheet3!$A2,"'",Sheet3!O2,"',")</f>
        <v>quoteId:'113',</v>
      </c>
      <c r="O2" t="str">
        <f>CONCATENATE(Sheet3!$A2,"'",Sheet3!P2,"',")</f>
        <v>quoteId:'114',</v>
      </c>
      <c r="P2" t="str">
        <f>CONCATENATE(Sheet3!$A2,"'",Sheet3!Q2,"',")</f>
        <v>quoteId:'115',</v>
      </c>
      <c r="Q2" t="str">
        <f>CONCATENATE(Sheet3!$A2,"'",Sheet3!R2,"',")</f>
        <v>quoteId:'116',</v>
      </c>
      <c r="R2" t="str">
        <f>CONCATENATE(Sheet3!$A2,Sheet3!S2)</f>
        <v>quoteId:117</v>
      </c>
      <c r="S2" t="str">
        <f>CONCATENATE(Sheet3!$A2,Sheet3!T2)</f>
        <v>quoteId:118</v>
      </c>
      <c r="T2" t="str">
        <f>CONCATENATE(Sheet3!$A2,Sheet3!U2)</f>
        <v>quoteId:119</v>
      </c>
      <c r="U2" t="str">
        <f>CONCATENATE(Sheet3!$A2,Sheet3!V2)</f>
        <v>quoteId:120</v>
      </c>
      <c r="V2" t="str">
        <f>CONCATENATE(Sheet3!$A2,Sheet3!W2)</f>
        <v>quoteId:121</v>
      </c>
    </row>
    <row r="3" spans="1:22">
      <c r="A3" t="str">
        <f>CONCATENATE(Sheet3!$A3,Sheet3!B3)</f>
        <v>name: "ciaran",</v>
      </c>
      <c r="B3" t="str">
        <f>CONCATENATE(Sheet3!$A3,Sheet3!C3)</f>
        <v>name: "Mr. Smith",</v>
      </c>
      <c r="C3" t="str">
        <f>CONCATENATE(Sheet3!$A3,Sheet3!D3)</f>
        <v>name: "Mr. Ross",</v>
      </c>
      <c r="D3" t="str">
        <f>CONCATENATE(Sheet3!$A3,Sheet3!E3)</f>
        <v>name: "ciaran",</v>
      </c>
      <c r="E3" t="str">
        <f>CONCATENATE(Sheet3!$A3,Sheet3!F3)</f>
        <v>name: "Mr. Smith",</v>
      </c>
      <c r="F3" t="str">
        <f>CONCATENATE(Sheet3!$A3,Sheet3!G3)</f>
        <v>name: "Mr. Ross",</v>
      </c>
      <c r="G3" t="str">
        <f>CONCATENATE(Sheet3!$A3,Sheet3!H3)</f>
        <v>name: "ciaran",</v>
      </c>
      <c r="H3" t="str">
        <f>CONCATENATE(Sheet3!$A3,Sheet3!I3)</f>
        <v>name: "Mr. Smith",</v>
      </c>
      <c r="I3" t="str">
        <f>CONCATENATE(Sheet3!$A3,Sheet3!J3)</f>
        <v>name: "Mr. Ross",</v>
      </c>
      <c r="J3" t="str">
        <f>CONCATENATE(Sheet3!$A3,Sheet3!K3)</f>
        <v>name: "ciaran",</v>
      </c>
      <c r="K3" t="str">
        <f>CONCATENATE(Sheet3!$A3,Sheet3!L3)</f>
        <v>name: "Mr. Smith",</v>
      </c>
      <c r="L3" t="str">
        <f>CONCATENATE(Sheet3!$A3,Sheet3!M3)</f>
        <v>name: "Mr. Ross",</v>
      </c>
      <c r="M3" t="str">
        <f>CONCATENATE(Sheet3!$A3,Sheet3!N3)</f>
        <v>name: "Mr. Ross",</v>
      </c>
      <c r="N3" t="str">
        <f>CONCATENATE(Sheet3!$A3,Sheet3!O3)</f>
        <v>name: "Mr. Ross",</v>
      </c>
      <c r="O3" t="str">
        <f>CONCATENATE(Sheet3!$A3,Sheet3!P3)</f>
        <v>name: "Mr. Ross",</v>
      </c>
      <c r="P3" t="str">
        <f>CONCATENATE(Sheet3!$A3,Sheet3!Q3)</f>
        <v>name: "Mr. Ross",</v>
      </c>
      <c r="Q3" t="str">
        <f>CONCATENATE(Sheet3!$A3,Sheet3!R3)</f>
        <v>name: "Mr. Ross",</v>
      </c>
      <c r="R3" t="str">
        <f>CONCATENATE(Sheet3!$A3,Sheet3!S3)</f>
        <v>name: "Mr. Ross",</v>
      </c>
      <c r="S3" t="str">
        <f>CONCATENATE(Sheet3!$A3,Sheet3!T3)</f>
        <v>name: "Mr. Ross",</v>
      </c>
      <c r="T3" t="str">
        <f>CONCATENATE(Sheet3!$A3,Sheet3!U3)</f>
        <v>name: "Mr. Ross",</v>
      </c>
      <c r="U3" t="str">
        <f>CONCATENATE(Sheet3!$A3,Sheet3!V3)</f>
        <v>name: "Mr. Ross",</v>
      </c>
      <c r="V3" t="str">
        <f>CONCATENATE(Sheet3!$A3,Sheet3!W3)</f>
        <v>name: "Mr. Ross",</v>
      </c>
    </row>
    <row r="4" spans="1:22">
      <c r="A4" t="str">
        <f>CONCATENATE(Sheet3!$A4,Sheet3!B4)</f>
        <v>email: "ciaran.quinlan@gmail.com",</v>
      </c>
      <c r="B4" t="str">
        <f>CONCATENATE(Sheet3!$A4,Sheet3!C4)</f>
        <v>email:"random@email.com",</v>
      </c>
      <c r="C4" t="str">
        <f>CONCATENATE(Sheet3!$A4,Sheet3!D4)</f>
        <v>email:"random@email.com",</v>
      </c>
      <c r="D4" t="str">
        <f>CONCATENATE(Sheet3!$A4,Sheet3!E4)</f>
        <v>email:"random@email.com",</v>
      </c>
      <c r="E4" t="str">
        <f>CONCATENATE(Sheet3!$A4,Sheet3!F4)</f>
        <v>email:"random@email.com",</v>
      </c>
      <c r="F4" t="str">
        <f>CONCATENATE(Sheet3!$A4,Sheet3!G4)</f>
        <v>email:"random@email.com",</v>
      </c>
      <c r="G4" t="str">
        <f>CONCATENATE(Sheet3!$A4,Sheet3!H4)</f>
        <v>email:"random@email.com",</v>
      </c>
      <c r="H4" t="str">
        <f>CONCATENATE(Sheet3!$A4,Sheet3!I4)</f>
        <v>email:"random@email.com",</v>
      </c>
      <c r="I4" t="str">
        <f>CONCATENATE(Sheet3!$A4,Sheet3!J4)</f>
        <v>email:"random@email.com",</v>
      </c>
      <c r="J4" t="str">
        <f>CONCATENATE(Sheet3!$A4,Sheet3!K4)</f>
        <v>email:"random@email.com",</v>
      </c>
      <c r="K4" t="str">
        <f>CONCATENATE(Sheet3!$A4,Sheet3!L4)</f>
        <v>email:"random@email.com",</v>
      </c>
      <c r="L4" t="str">
        <f>CONCATENATE(Sheet3!$A4,Sheet3!M4)</f>
        <v>email:"random@email.com",</v>
      </c>
      <c r="M4" t="str">
        <f>CONCATENATE(Sheet3!$A4,Sheet3!N4)</f>
        <v>email:"random@email.com",</v>
      </c>
      <c r="N4" t="str">
        <f>CONCATENATE(Sheet3!$A4,Sheet3!O4)</f>
        <v>email:"random@email.com",</v>
      </c>
      <c r="O4" t="str">
        <f>CONCATENATE(Sheet3!$A4,Sheet3!P4)</f>
        <v>email:"random@email.com",</v>
      </c>
      <c r="P4" t="str">
        <f>CONCATENATE(Sheet3!$A4,Sheet3!Q4)</f>
        <v>email:"random@email.com",</v>
      </c>
      <c r="Q4" t="str">
        <f>CONCATENATE(Sheet3!$A4,Sheet3!R4)</f>
        <v>email:"random@email.com",</v>
      </c>
      <c r="R4" t="str">
        <f>CONCATENATE(Sheet3!$A4,Sheet3!S4)</f>
        <v>email:"random@email.com",</v>
      </c>
      <c r="S4" t="str">
        <f>CONCATENATE(Sheet3!$A4,Sheet3!T4)</f>
        <v>email:"random@email.com",</v>
      </c>
      <c r="T4" t="str">
        <f>CONCATENATE(Sheet3!$A4,Sheet3!U4)</f>
        <v>email:"random@email.com",</v>
      </c>
      <c r="U4" t="str">
        <f>CONCATENATE(Sheet3!$A4,Sheet3!V4)</f>
        <v>email:"random@email.com",</v>
      </c>
      <c r="V4" t="str">
        <f>CONCATENATE(Sheet3!$A4,Sheet3!W4)</f>
        <v>email:"random@email.com",</v>
      </c>
    </row>
    <row r="5" spans="1:22">
      <c r="A5" t="str">
        <f>CONCATENATE(Sheet3!$A5,Sheet3!B5)</f>
        <v>phone: "0868090777",</v>
      </c>
      <c r="B5" t="str">
        <f>CONCATENATE(Sheet3!$A5,Sheet3!C5)</f>
        <v>phone: "0868090777",</v>
      </c>
      <c r="C5" t="str">
        <f>CONCATENATE(Sheet3!$A5,Sheet3!D5)</f>
        <v>phone: "0868090777",</v>
      </c>
      <c r="D5" t="str">
        <f>CONCATENATE(Sheet3!$A5,Sheet3!E5)</f>
        <v>phone: "0868090777",</v>
      </c>
      <c r="E5" t="str">
        <f>CONCATENATE(Sheet3!$A5,Sheet3!F5)</f>
        <v>phone: "0868090777",</v>
      </c>
      <c r="F5" t="str">
        <f>CONCATENATE(Sheet3!$A5,Sheet3!G5)</f>
        <v>phone: "0868090777",</v>
      </c>
      <c r="G5" t="str">
        <f>CONCATENATE(Sheet3!$A5,Sheet3!H5)</f>
        <v>phone: "0868090777",</v>
      </c>
      <c r="H5" t="str">
        <f>CONCATENATE(Sheet3!$A5,Sheet3!I5)</f>
        <v>phone: "0868090777",</v>
      </c>
      <c r="I5" t="str">
        <f>CONCATENATE(Sheet3!$A5,Sheet3!J5)</f>
        <v>phone: "0868090777",</v>
      </c>
      <c r="J5" t="str">
        <f>CONCATENATE(Sheet3!$A5,Sheet3!K5)</f>
        <v>phone: "0868090777",</v>
      </c>
      <c r="K5" t="str">
        <f>CONCATENATE(Sheet3!$A5,Sheet3!L5)</f>
        <v>phone: "0868090777",</v>
      </c>
      <c r="L5" t="str">
        <f>CONCATENATE(Sheet3!$A5,Sheet3!M5)</f>
        <v>phone: "0868090777",</v>
      </c>
      <c r="M5" t="str">
        <f>CONCATENATE(Sheet3!$A5,Sheet3!N5)</f>
        <v>phone: "0868090777",</v>
      </c>
      <c r="N5" t="str">
        <f>CONCATENATE(Sheet3!$A5,Sheet3!O5)</f>
        <v>phone: "0868090777",</v>
      </c>
      <c r="O5" t="str">
        <f>CONCATENATE(Sheet3!$A5,Sheet3!P5)</f>
        <v>phone: "0868090777",</v>
      </c>
      <c r="P5" t="str">
        <f>CONCATENATE(Sheet3!$A5,Sheet3!Q5)</f>
        <v>phone: "0868090777",</v>
      </c>
      <c r="Q5" t="str">
        <f>CONCATENATE(Sheet3!$A5,Sheet3!R5)</f>
        <v>phone: "0868090777",</v>
      </c>
      <c r="R5" t="str">
        <f>CONCATENATE(Sheet3!$A5,Sheet3!S5)</f>
        <v>phone: "0868090777",</v>
      </c>
      <c r="S5" t="str">
        <f>CONCATENATE(Sheet3!$A5,Sheet3!T5)</f>
        <v>phone: "0868090777",</v>
      </c>
      <c r="T5" t="str">
        <f>CONCATENATE(Sheet3!$A5,Sheet3!U5)</f>
        <v>phone: "0868090777",</v>
      </c>
      <c r="U5" t="str">
        <f>CONCATENATE(Sheet3!$A5,Sheet3!V5)</f>
        <v>phone: "0868090777",</v>
      </c>
      <c r="V5" t="str">
        <f>CONCATENATE(Sheet3!$A5,Sheet3!W5)</f>
        <v>phone: "0868090777",</v>
      </c>
    </row>
    <row r="6" spans="1:22">
      <c r="A6" t="str">
        <f>CONCATENATE(Sheet3!$A6,Sheet3!B6)</f>
        <v>rankQuality: "Low",</v>
      </c>
      <c r="B6" t="str">
        <f>CONCATENATE(Sheet3!$A6,Sheet3!C6)</f>
        <v>rankQuality:  "Medium",</v>
      </c>
      <c r="C6" t="str">
        <f>CONCATENATE(Sheet3!$A6,Sheet3!D6)</f>
        <v>rankQuality:  "High",</v>
      </c>
      <c r="D6" t="str">
        <f>CONCATENATE(Sheet3!$A6,Sheet3!E6)</f>
        <v>rankQuality:  "High",</v>
      </c>
      <c r="E6" t="str">
        <f>CONCATENATE(Sheet3!$A6,Sheet3!F6)</f>
        <v>rankQuality: "Low",</v>
      </c>
      <c r="F6" t="str">
        <f>CONCATENATE(Sheet3!$A6,Sheet3!G6)</f>
        <v>rankQuality:  "Medium",</v>
      </c>
      <c r="G6" t="str">
        <f>CONCATENATE(Sheet3!$A6,Sheet3!H6)</f>
        <v>rankQuality:  "High",</v>
      </c>
      <c r="H6" t="str">
        <f>CONCATENATE(Sheet3!$A6,Sheet3!I6)</f>
        <v>rankQuality:  "High",</v>
      </c>
      <c r="I6" t="str">
        <f>CONCATENATE(Sheet3!$A6,Sheet3!J6)</f>
        <v>rankQuality: "Low",</v>
      </c>
      <c r="J6" t="str">
        <f>CONCATENATE(Sheet3!$A6,Sheet3!K6)</f>
        <v>rankQuality: "Low",</v>
      </c>
      <c r="K6" t="str">
        <f>CONCATENATE(Sheet3!$A6,Sheet3!L6)</f>
        <v>rankQuality:  "Medium",</v>
      </c>
      <c r="L6" t="str">
        <f>CONCATENATE(Sheet3!$A6,Sheet3!M6)</f>
        <v>rankQuality:  "Medium",</v>
      </c>
      <c r="M6" t="str">
        <f>CONCATENATE(Sheet3!$A6,Sheet3!N6)</f>
        <v>rankQuality:  "Medium",</v>
      </c>
      <c r="N6" t="str">
        <f>CONCATENATE(Sheet3!$A6,Sheet3!O6)</f>
        <v>rankQuality:  "Medium",</v>
      </c>
      <c r="O6" t="str">
        <f>CONCATENATE(Sheet3!$A6,Sheet3!P6)</f>
        <v>rankQuality:  "Medium",</v>
      </c>
      <c r="P6" t="str">
        <f>CONCATENATE(Sheet3!$A6,Sheet3!Q6)</f>
        <v>rankQuality:  "Medium",</v>
      </c>
      <c r="Q6" t="str">
        <f>CONCATENATE(Sheet3!$A6,Sheet3!R6)</f>
        <v>rankQuality:  "Medium",</v>
      </c>
      <c r="R6" t="str">
        <f>CONCATENATE(Sheet3!$A6,Sheet3!S6)</f>
        <v>rankQuality:  "Medium",</v>
      </c>
      <c r="S6" t="str">
        <f>CONCATENATE(Sheet3!$A6,Sheet3!T6)</f>
        <v>rankQuality:  "Medium",</v>
      </c>
      <c r="T6" t="str">
        <f>CONCATENATE(Sheet3!$A6,Sheet3!U6)</f>
        <v>rankQuality:  "Medium",</v>
      </c>
      <c r="U6" t="str">
        <f>CONCATENATE(Sheet3!$A6,Sheet3!V6)</f>
        <v>rankQuality:  "Medium",</v>
      </c>
      <c r="V6" t="str">
        <f>CONCATENATE(Sheet3!$A6,Sheet3!W6)</f>
        <v>rankQuality:  "Medium",</v>
      </c>
    </row>
    <row r="7" spans="1:22">
      <c r="A7" t="str">
        <f>CONCATENATE(Sheet3!$A7,Sheet3!B7)</f>
        <v>rankTime: "Medium",</v>
      </c>
      <c r="B7" t="str">
        <f>CONCATENATE(Sheet3!$A7,Sheet3!C7)</f>
        <v>rankTime:"Low",</v>
      </c>
      <c r="C7" t="str">
        <f>CONCATENATE(Sheet3!$A7,Sheet3!D7)</f>
        <v>rankTime: "Medium",</v>
      </c>
      <c r="D7" t="str">
        <f>CONCATENATE(Sheet3!$A7,Sheet3!E7)</f>
        <v>rankTime: "High",</v>
      </c>
      <c r="E7" t="str">
        <f>CONCATENATE(Sheet3!$A7,Sheet3!F7)</f>
        <v>rankTime: "Medium",</v>
      </c>
      <c r="F7" t="str">
        <f>CONCATENATE(Sheet3!$A7,Sheet3!G7)</f>
        <v>rankTime:"Low",</v>
      </c>
      <c r="G7" t="str">
        <f>CONCATENATE(Sheet3!$A7,Sheet3!H7)</f>
        <v>rankTime: "Medium",</v>
      </c>
      <c r="H7" t="str">
        <f>CONCATENATE(Sheet3!$A7,Sheet3!I7)</f>
        <v>rankTime: "High",</v>
      </c>
      <c r="I7" t="str">
        <f>CONCATENATE(Sheet3!$A7,Sheet3!J7)</f>
        <v>rankTime:"Low",</v>
      </c>
      <c r="J7" t="str">
        <f>CONCATENATE(Sheet3!$A7,Sheet3!K7)</f>
        <v>rankTime: "Medium",</v>
      </c>
      <c r="K7" t="str">
        <f>CONCATENATE(Sheet3!$A7,Sheet3!L7)</f>
        <v>rankTime: "High",</v>
      </c>
      <c r="L7" t="str">
        <f>CONCATENATE(Sheet3!$A7,Sheet3!M7)</f>
        <v>rankTime: "High",</v>
      </c>
      <c r="M7" t="str">
        <f>CONCATENATE(Sheet3!$A7,Sheet3!N7)</f>
        <v>rankTime: "High",</v>
      </c>
      <c r="N7" t="str">
        <f>CONCATENATE(Sheet3!$A7,Sheet3!O7)</f>
        <v>rankTime: "High",</v>
      </c>
      <c r="O7" t="str">
        <f>CONCATENATE(Sheet3!$A7,Sheet3!P7)</f>
        <v>rankTime: "High",</v>
      </c>
      <c r="P7" t="str">
        <f>CONCATENATE(Sheet3!$A7,Sheet3!Q7)</f>
        <v>rankTime: "High",</v>
      </c>
      <c r="Q7" t="str">
        <f>CONCATENATE(Sheet3!$A7,Sheet3!R7)</f>
        <v>rankTime: "High",</v>
      </c>
      <c r="R7" t="str">
        <f>CONCATENATE(Sheet3!$A7,Sheet3!S7)</f>
        <v>rankTime: "High",</v>
      </c>
      <c r="S7" t="str">
        <f>CONCATENATE(Sheet3!$A7,Sheet3!T7)</f>
        <v>rankTime: "High",</v>
      </c>
      <c r="T7" t="str">
        <f>CONCATENATE(Sheet3!$A7,Sheet3!U7)</f>
        <v>rankTime: "High",</v>
      </c>
      <c r="U7" t="str">
        <f>CONCATENATE(Sheet3!$A7,Sheet3!V7)</f>
        <v>rankTime: "High",</v>
      </c>
      <c r="V7" t="str">
        <f>CONCATENATE(Sheet3!$A7,Sheet3!W7)</f>
        <v>rankTime: "High",</v>
      </c>
    </row>
    <row r="8" spans="1:22">
      <c r="A8" t="str">
        <f>CONCATENATE(Sheet3!$A8,Sheet3!B8)</f>
        <v>rankCost: "High",</v>
      </c>
      <c r="B8" t="str">
        <f>CONCATENATE(Sheet3!$A8,Sheet3!C8)</f>
        <v>rankCost: "Medium",</v>
      </c>
      <c r="C8" t="str">
        <f>CONCATENATE(Sheet3!$A8,Sheet3!D8)</f>
        <v>rankCost:"Low",</v>
      </c>
      <c r="D8" t="str">
        <f>CONCATENATE(Sheet3!$A8,Sheet3!E8)</f>
        <v>rankCost: "Medium",</v>
      </c>
      <c r="E8" t="str">
        <f>CONCATENATE(Sheet3!$A8,Sheet3!F8)</f>
        <v>rankCost: "High",</v>
      </c>
      <c r="F8" t="str">
        <f>CONCATENATE(Sheet3!$A8,Sheet3!G8)</f>
        <v>rankCost: "Medium",</v>
      </c>
      <c r="G8" t="str">
        <f>CONCATENATE(Sheet3!$A8,Sheet3!H8)</f>
        <v>rankCost:"Low",</v>
      </c>
      <c r="H8" t="str">
        <f>CONCATENATE(Sheet3!$A8,Sheet3!I8)</f>
        <v>rankCost: "Medium",</v>
      </c>
      <c r="I8" t="str">
        <f>CONCATENATE(Sheet3!$A8,Sheet3!J8)</f>
        <v>rankCost: "High",</v>
      </c>
      <c r="J8" t="str">
        <f>CONCATENATE(Sheet3!$A8,Sheet3!K8)</f>
        <v>rankCost:"Low",</v>
      </c>
      <c r="K8" t="str">
        <f>CONCATENATE(Sheet3!$A8,Sheet3!L8)</f>
        <v>rankCost: "Medium",</v>
      </c>
      <c r="L8" t="str">
        <f>CONCATENATE(Sheet3!$A8,Sheet3!M8)</f>
        <v>rankCost: "Medium",</v>
      </c>
      <c r="M8" t="str">
        <f>CONCATENATE(Sheet3!$A8,Sheet3!N8)</f>
        <v>rankCost: "Medium",</v>
      </c>
      <c r="N8" t="str">
        <f>CONCATENATE(Sheet3!$A8,Sheet3!O8)</f>
        <v>rankCost: "Medium",</v>
      </c>
      <c r="O8" t="str">
        <f>CONCATENATE(Sheet3!$A8,Sheet3!P8)</f>
        <v>rankCost: "Medium",</v>
      </c>
      <c r="P8" t="str">
        <f>CONCATENATE(Sheet3!$A8,Sheet3!Q8)</f>
        <v>rankCost: "Medium",</v>
      </c>
      <c r="Q8" t="str">
        <f>CONCATENATE(Sheet3!$A8,Sheet3!R8)</f>
        <v>rankCost: "Medium",</v>
      </c>
      <c r="R8" t="str">
        <f>CONCATENATE(Sheet3!$A8,Sheet3!S8)</f>
        <v>rankCost: "Medium",</v>
      </c>
      <c r="S8" t="str">
        <f>CONCATENATE(Sheet3!$A8,Sheet3!T8)</f>
        <v>rankCost: "Medium",</v>
      </c>
      <c r="T8" t="str">
        <f>CONCATENATE(Sheet3!$A8,Sheet3!U8)</f>
        <v>rankCost: "Medium",</v>
      </c>
      <c r="U8" t="str">
        <f>CONCATENATE(Sheet3!$A8,Sheet3!V8)</f>
        <v>rankCost: "Medium",</v>
      </c>
      <c r="V8" t="str">
        <f>CONCATENATE(Sheet3!$A8,Sheet3!W8)</f>
        <v>rankCost: "Medium",</v>
      </c>
    </row>
    <row r="9" spans="1:22">
      <c r="A9" t="str">
        <f>CONCATENATE(Sheet3!$A9,Sheet3!B9)</f>
        <v>expectedDate: "01/09/2019",</v>
      </c>
      <c r="B9" t="str">
        <f>CONCATENATE(Sheet3!$A9,Sheet3!C9)</f>
        <v>expectedDate: "01/09/2019",</v>
      </c>
      <c r="C9" t="str">
        <f>CONCATENATE(Sheet3!$A9,Sheet3!D9)</f>
        <v>expectedDate: "01/09/2019",</v>
      </c>
      <c r="D9" t="str">
        <f>CONCATENATE(Sheet3!$A9,Sheet3!E9)</f>
        <v>expectedDate: "01/09/2019",</v>
      </c>
      <c r="E9" t="str">
        <f>CONCATENATE(Sheet3!$A9,Sheet3!F9)</f>
        <v>expectedDate: "01/09/2019",</v>
      </c>
      <c r="F9" t="str">
        <f>CONCATENATE(Sheet3!$A9,Sheet3!G9)</f>
        <v>expectedDate: "01/09/2019",</v>
      </c>
      <c r="G9" t="str">
        <f>CONCATENATE(Sheet3!$A9,Sheet3!H9)</f>
        <v>expectedDate: "01/09/2019",</v>
      </c>
      <c r="H9" t="str">
        <f>CONCATENATE(Sheet3!$A9,Sheet3!I9)</f>
        <v>expectedDate: "01/09/2019",</v>
      </c>
      <c r="I9" t="str">
        <f>CONCATENATE(Sheet3!$A9,Sheet3!J9)</f>
        <v>expectedDate: "01/09/2019",</v>
      </c>
      <c r="J9" t="str">
        <f>CONCATENATE(Sheet3!$A9,Sheet3!K9)</f>
        <v>expectedDate: "01/09/2019",</v>
      </c>
      <c r="K9" t="str">
        <f>CONCATENATE(Sheet3!$A9,Sheet3!L9)</f>
        <v>expectedDate: "01/09/2019",</v>
      </c>
      <c r="L9" t="str">
        <f>CONCATENATE(Sheet3!$A9,Sheet3!M9)</f>
        <v>expectedDate: "01/09/2019",</v>
      </c>
      <c r="M9" t="str">
        <f>CONCATENATE(Sheet3!$A9,Sheet3!N9)</f>
        <v>expectedDate: "01/09/2019",</v>
      </c>
      <c r="N9" t="str">
        <f>CONCATENATE(Sheet3!$A9,Sheet3!O9)</f>
        <v>expectedDate: "01/09/2019",</v>
      </c>
      <c r="O9" t="str">
        <f>CONCATENATE(Sheet3!$A9,Sheet3!P9)</f>
        <v>expectedDate: "01/09/2019",</v>
      </c>
      <c r="P9" t="str">
        <f>CONCATENATE(Sheet3!$A9,Sheet3!Q9)</f>
        <v>expectedDate: "01/09/2019",</v>
      </c>
      <c r="Q9" t="str">
        <f>CONCATENATE(Sheet3!$A9,Sheet3!R9)</f>
        <v>expectedDate: "01/09/2019",</v>
      </c>
      <c r="R9" t="str">
        <f>CONCATENATE(Sheet3!$A9,Sheet3!S9)</f>
        <v>expectedDate: "01/09/2019",</v>
      </c>
      <c r="S9" t="str">
        <f>CONCATENATE(Sheet3!$A9,Sheet3!T9)</f>
        <v>expectedDate: "01/09/2019",</v>
      </c>
      <c r="T9" t="str">
        <f>CONCATENATE(Sheet3!$A9,Sheet3!U9)</f>
        <v>expectedDate: "01/09/2019",</v>
      </c>
      <c r="U9" t="str">
        <f>CONCATENATE(Sheet3!$A9,Sheet3!V9)</f>
        <v>expectedDate: "01/09/2019",</v>
      </c>
      <c r="V9" t="str">
        <f>CONCATENATE(Sheet3!$A9,Sheet3!W9)</f>
        <v>expectedDate: "01/09/2019",</v>
      </c>
    </row>
    <row r="10" spans="1:22">
      <c r="A10" t="str">
        <f>CONCATENATE(Sheet3!$A10,Sheet3!B10)</f>
        <v>liveDate: "01/09/2019",</v>
      </c>
      <c r="B10" t="str">
        <f>CONCATENATE(Sheet3!$A10,Sheet3!C10)</f>
        <v>liveDate: "01/09/2019",</v>
      </c>
      <c r="C10" t="str">
        <f>CONCATENATE(Sheet3!$A10,Sheet3!D10)</f>
        <v>liveDate: "01/09/2019",</v>
      </c>
      <c r="D10" t="str">
        <f>CONCATENATE(Sheet3!$A10,Sheet3!E10)</f>
        <v>liveDate: "01/09/2019",</v>
      </c>
      <c r="E10" t="str">
        <f>CONCATENATE(Sheet3!$A10,Sheet3!F10)</f>
        <v>liveDate: "01/09/2019",</v>
      </c>
      <c r="F10" t="str">
        <f>CONCATENATE(Sheet3!$A10,Sheet3!G10)</f>
        <v>liveDate: "01/09/2019",</v>
      </c>
      <c r="G10" t="str">
        <f>CONCATENATE(Sheet3!$A10,Sheet3!H10)</f>
        <v>liveDate: "01/09/2019",</v>
      </c>
      <c r="H10" t="str">
        <f>CONCATENATE(Sheet3!$A10,Sheet3!I10)</f>
        <v>liveDate: "01/09/2019",</v>
      </c>
      <c r="I10" t="str">
        <f>CONCATENATE(Sheet3!$A10,Sheet3!J10)</f>
        <v>liveDate: "01/09/2019",</v>
      </c>
      <c r="J10" t="str">
        <f>CONCATENATE(Sheet3!$A10,Sheet3!K10)</f>
        <v>liveDate: "01/09/2019",</v>
      </c>
      <c r="K10" t="str">
        <f>CONCATENATE(Sheet3!$A10,Sheet3!L10)</f>
        <v>liveDate: "01/09/2019",</v>
      </c>
      <c r="L10" t="str">
        <f>CONCATENATE(Sheet3!$A10,Sheet3!M10)</f>
        <v>liveDate: "01/09/2019",</v>
      </c>
      <c r="M10" t="str">
        <f>CONCATENATE(Sheet3!$A10,Sheet3!N10)</f>
        <v>liveDate: "01/09/2019",</v>
      </c>
      <c r="N10" t="str">
        <f>CONCATENATE(Sheet3!$A10,Sheet3!O10)</f>
        <v>liveDate: "01/09/2019",</v>
      </c>
      <c r="O10" t="str">
        <f>CONCATENATE(Sheet3!$A10,Sheet3!P10)</f>
        <v>liveDate: "01/09/2019",</v>
      </c>
      <c r="P10" t="str">
        <f>CONCATENATE(Sheet3!$A10,Sheet3!Q10)</f>
        <v>liveDate: "01/09/2019",</v>
      </c>
      <c r="Q10" t="str">
        <f>CONCATENATE(Sheet3!$A10,Sheet3!R10)</f>
        <v>liveDate: "01/09/2019",</v>
      </c>
      <c r="R10" t="str">
        <f>CONCATENATE(Sheet3!$A10,Sheet3!S10)</f>
        <v>liveDate: "01/09/2019",</v>
      </c>
      <c r="S10" t="str">
        <f>CONCATENATE(Sheet3!$A10,Sheet3!T10)</f>
        <v>liveDate: "01/09/2019",</v>
      </c>
      <c r="T10" t="str">
        <f>CONCATENATE(Sheet3!$A10,Sheet3!U10)</f>
        <v>liveDate: "01/09/2019",</v>
      </c>
      <c r="U10" t="str">
        <f>CONCATENATE(Sheet3!$A10,Sheet3!V10)</f>
        <v>liveDate: "01/09/2019",</v>
      </c>
      <c r="V10" t="str">
        <f>CONCATENATE(Sheet3!$A10,Sheet3!W10)</f>
        <v>liveDate: "01/09/2019",</v>
      </c>
    </row>
    <row r="11" spans="1:22">
      <c r="A11" t="str">
        <f>CONCATENATE(Sheet3!$A11,Sheet3!B11)</f>
        <v>budget: "4000",</v>
      </c>
      <c r="B11" t="str">
        <f>CONCATENATE(Sheet3!$A11,Sheet3!C11)</f>
        <v>budget: "5000",</v>
      </c>
      <c r="C11" t="str">
        <f>CONCATENATE(Sheet3!$A11,Sheet3!D11)</f>
        <v>budget: "10000",</v>
      </c>
      <c r="D11" t="str">
        <f>CONCATENATE(Sheet3!$A11,Sheet3!E11)</f>
        <v>budget: "4000",</v>
      </c>
      <c r="E11" t="str">
        <f>CONCATENATE(Sheet3!$A11,Sheet3!F11)</f>
        <v>budget: "5000",</v>
      </c>
      <c r="F11" t="str">
        <f>CONCATENATE(Sheet3!$A11,Sheet3!G11)</f>
        <v>budget: "10000",</v>
      </c>
      <c r="G11" t="str">
        <f>CONCATENATE(Sheet3!$A11,Sheet3!H11)</f>
        <v>budget: "4000",</v>
      </c>
      <c r="H11" t="str">
        <f>CONCATENATE(Sheet3!$A11,Sheet3!I11)</f>
        <v>budget: "5000",</v>
      </c>
      <c r="I11" t="str">
        <f>CONCATENATE(Sheet3!$A11,Sheet3!J11)</f>
        <v>budget: "10000",</v>
      </c>
      <c r="J11" t="str">
        <f>CONCATENATE(Sheet3!$A11,Sheet3!K11)</f>
        <v>budget: "4000",</v>
      </c>
      <c r="K11" t="str">
        <f>CONCATENATE(Sheet3!$A11,Sheet3!L11)</f>
        <v>budget: "5000",</v>
      </c>
      <c r="L11" t="str">
        <f>CONCATENATE(Sheet3!$A11,Sheet3!M11)</f>
        <v>budget: "10000",</v>
      </c>
      <c r="M11" t="str">
        <f>CONCATENATE(Sheet3!$A11,Sheet3!N11)</f>
        <v>budget: "10000",</v>
      </c>
      <c r="N11" t="str">
        <f>CONCATENATE(Sheet3!$A11,Sheet3!O11)</f>
        <v>budget: "10000",</v>
      </c>
      <c r="O11" t="str">
        <f>CONCATENATE(Sheet3!$A11,Sheet3!P11)</f>
        <v>budget: "10000",</v>
      </c>
      <c r="P11" t="str">
        <f>CONCATENATE(Sheet3!$A11,Sheet3!Q11)</f>
        <v>budget: "10000",</v>
      </c>
      <c r="Q11" t="str">
        <f>CONCATENATE(Sheet3!$A11,Sheet3!R11)</f>
        <v>budget: "10000",</v>
      </c>
      <c r="R11" t="str">
        <f>CONCATENATE(Sheet3!$A11,Sheet3!S11)</f>
        <v>budget: "10000",</v>
      </c>
      <c r="S11" t="str">
        <f>CONCATENATE(Sheet3!$A11,Sheet3!T11)</f>
        <v>budget: "10000",</v>
      </c>
      <c r="T11" t="str">
        <f>CONCATENATE(Sheet3!$A11,Sheet3!U11)</f>
        <v>budget: "10000",</v>
      </c>
      <c r="U11" t="str">
        <f>CONCATENATE(Sheet3!$A11,Sheet3!V11)</f>
        <v>budget: "10000",</v>
      </c>
      <c r="V11" t="str">
        <f>CONCATENATE(Sheet3!$A11,Sheet3!W11)</f>
        <v>budget: "10000",</v>
      </c>
    </row>
    <row r="12" spans="1:22">
      <c r="A12" t="str">
        <f>CONCATENATE(Sheet3!$A12,Sheet3!B12)</f>
        <v>brief: "this is the detailed brief",</v>
      </c>
      <c r="B12" t="str">
        <f>CONCATENATE(Sheet3!$A12,Sheet3!C12)</f>
        <v>brief: "Becoming a fullstack web developer requires you to cover a lot of skills. For beginners it’s often not easy to find the right learning path and to gain quick result. At first sight it might be overwhelming to understand what you need to learn and how everything fits together at the end..",</v>
      </c>
      <c r="C12" t="str">
        <f>CONCATENATE(Sheet3!$A12,Sheet3!D12)</f>
        <v>brief: "This post will give you an overview of technologies you may consider to learn for being a fullstack developer in 2019 and beyond. We’ll start to take a look at the foundation and programming languages and then move forward to more advanced topics like frameworks and additional tools..",</v>
      </c>
      <c r="D12" t="str">
        <f>CONCATENATE(Sheet3!$A12,Sheet3!E12)</f>
        <v>brief: "This list will provide guidance to find your path through the web development jungle in 2019. Together with a short description of the relevant topics this post contains link to great learning resources so that you can start quickly to expand your skill-set.",</v>
      </c>
      <c r="E12" t="str">
        <f>CONCATENATE(Sheet3!$A12,Sheet3!F12)</f>
        <v>brief: "this is the detailed brief",</v>
      </c>
      <c r="F12" t="str">
        <f>CONCATENATE(Sheet3!$A12,Sheet3!G12)</f>
        <v>brief: "Becoming a fullstack web developer requires you to cover a lot of skills. For beginners it’s often not easy to find the right learning path and to gain quick result. At first sight it might be overwhelming to understand what you need to learn and how everything fits together at the end..",</v>
      </c>
      <c r="G12" t="str">
        <f>CONCATENATE(Sheet3!$A12,Sheet3!H12)</f>
        <v>brief: "This post will give you an overview of technologies you may consider to learn for being a fullstack developer in 2019 and beyond. We’ll start to take a look at the foundation and programming languages and then move forward to more advanced topics like frameworks and additional tools..",</v>
      </c>
      <c r="H12" t="str">
        <f>CONCATENATE(Sheet3!$A12,Sheet3!I12)</f>
        <v>brief: "This list will provide guidance to find your path through the web development jungle in 2019. Together with a short description of the relevant topics this post contains link to great learning resources so that you can start quickly to expand your skill-set.",</v>
      </c>
      <c r="I12" t="str">
        <f>CONCATENATE(Sheet3!$A12,Sheet3!J12)</f>
        <v>brief: "this is the detailed brief",</v>
      </c>
      <c r="J12" t="str">
        <f>CONCATENATE(Sheet3!$A12,Sheet3!K12)</f>
        <v>brief: "Becoming a fullstack web developer requires you to cover a lot of skills. For beginners it’s often not easy to find the right learning path and to gain quick result. At first sight it might be overwhelming to understand what you need to learn and how everything fits together at the end..",</v>
      </c>
      <c r="K12" t="str">
        <f>CONCATENATE(Sheet3!$A12,Sheet3!L12)</f>
        <v>brief: "This post will give you an overview of technologies you may consider to learn for being a fullstack developer in 2019 and beyond. We’ll start to take a look at the foundation and programming languages and then move forward to more advanced topics like frameworks and additional tools..",</v>
      </c>
      <c r="L12" t="str">
        <f>CONCATENATE(Sheet3!$A12,Sheet3!M12)</f>
        <v>brief: "This list will provide guidance to find your path through the web development jungle in 2019. Together with a short description of the relevant topics this post contains link to great learning resources so that you can start quickly to expand your skill-set.",</v>
      </c>
      <c r="M12" t="str">
        <f>CONCATENATE(Sheet3!$A12,Sheet3!N12)</f>
        <v>brief: "This list will provide guidance to find your path through the web development jungle in 2019. Together with a short description of the relevant topics this post contains link to great learning resources so that you can start quickly to expand your skill-set.",</v>
      </c>
      <c r="N12" t="str">
        <f>CONCATENATE(Sheet3!$A12,Sheet3!O12)</f>
        <v>brief: "This list will provide guidance to find your path through the web development jungle in 2019. Together with a short description of the relevant topics this post contains link to great learning resources so that you can start quickly to expand your skill-set.",</v>
      </c>
      <c r="O12" t="str">
        <f>CONCATENATE(Sheet3!$A12,Sheet3!P12)</f>
        <v>brief: "This list will provide guidance to find your path through the web development jungle in 2019. Together with a short description of the relevant topics this post contains link to great learning resources so that you can start quickly to expand your skill-set.",</v>
      </c>
      <c r="P12" t="str">
        <f>CONCATENATE(Sheet3!$A12,Sheet3!Q12)</f>
        <v>brief: "This list will provide guidance to find your path through the web development jungle in 2019. Together with a short description of the relevant topics this post contains link to great learning resources so that you can start quickly to expand your skill-set.",</v>
      </c>
      <c r="Q12" t="str">
        <f>CONCATENATE(Sheet3!$A12,Sheet3!R12)</f>
        <v>brief: "This list will provide guidance to find your path through the web development jungle in 2019. Together with a short description of the relevant topics this post contains link to great learning resources so that you can start quickly to expand your skill-set.",</v>
      </c>
      <c r="R12" t="str">
        <f>CONCATENATE(Sheet3!$A12,Sheet3!S12)</f>
        <v>brief: "This list will provide guidance to find your path through the web development jungle in 2019. Together with a short description of the relevant topics this post contains link to great learning resources so that you can start quickly to expand your skill-set.",</v>
      </c>
      <c r="S12" t="str">
        <f>CONCATENATE(Sheet3!$A12,Sheet3!T12)</f>
        <v>brief: "This list will provide guidance to find your path through the web development jungle in 2019. Together with a short description of the relevant topics this post contains link to great learning resources so that you can start quickly to expand your skill-set.",</v>
      </c>
      <c r="T12" t="str">
        <f>CONCATENATE(Sheet3!$A12,Sheet3!U12)</f>
        <v>brief: "This list will provide guidance to find your path through the web development jungle in 2019. Together with a short description of the relevant topics this post contains link to great learning resources so that you can start quickly to expand your skill-set.",</v>
      </c>
      <c r="U12" t="str">
        <f>CONCATENATE(Sheet3!$A12,Sheet3!V12)</f>
        <v>brief: "This list will provide guidance to find your path through the web development jungle in 2019. Together with a short description of the relevant topics this post contains link to great learning resources so that you can start quickly to expand your skill-set.",</v>
      </c>
      <c r="V12" t="str">
        <f>CONCATENATE(Sheet3!$A12,Sheet3!W12)</f>
        <v>brief: "This list will provide guidance to find your path through the web development jungle in 2019. Together with a short description of the relevant topics this post contains link to great learning resources so that you can start quickly to expand your skill-set.",</v>
      </c>
    </row>
    <row r="13" spans="1:22">
      <c r="A13" t="str">
        <f>CONCATENATE(Sheet3!$A13,Sheet3!B13)</f>
        <v>typeDevelopment:'Responsive Web Development (HTML5/JSON/REST)',</v>
      </c>
      <c r="B13" t="str">
        <f>CONCATENATE(Sheet3!$A13,Sheet3!C13)</f>
        <v>typeDevelopment:'Native Mobile Application (iOS)',</v>
      </c>
      <c r="C13" t="str">
        <f>CONCATENATE(Sheet3!$A13,Sheet3!D13)</f>
        <v>typeDevelopment:'E-Commerce Web Development',</v>
      </c>
      <c r="D13" t="str">
        <f>CONCATENATE(Sheet3!$A13,Sheet3!E13)</f>
        <v>typeDevelopment:'Database Architecture and Design',</v>
      </c>
      <c r="E13" t="str">
        <f>CONCATENATE(Sheet3!$A13,Sheet3!F13)</f>
        <v>typeDevelopment:'Bespoke Software Platform',</v>
      </c>
      <c r="F13" t="str">
        <f>CONCATENATE(Sheet3!$A13,Sheet3!G13)</f>
        <v>typeDevelopment:'Other:',</v>
      </c>
      <c r="G13" t="str">
        <f>CONCATENATE(Sheet3!$A13,Sheet3!H13)</f>
        <v>typeDevelopment:'Responsive Web Development (HTML5/JSON/REST)',</v>
      </c>
      <c r="H13" t="str">
        <f>CONCATENATE(Sheet3!$A13,Sheet3!I13)</f>
        <v>typeDevelopment:'Native Mobile Application (iOS)',</v>
      </c>
      <c r="I13" t="str">
        <f>CONCATENATE(Sheet3!$A13,Sheet3!J13)</f>
        <v>typeDevelopment:'E-Commerce Web Development',</v>
      </c>
      <c r="J13" t="str">
        <f>CONCATENATE(Sheet3!$A13,Sheet3!K13)</f>
        <v>typeDevelopment:'Database Architecture and Design',</v>
      </c>
      <c r="K13" t="str">
        <f>CONCATENATE(Sheet3!$A13,Sheet3!L13)</f>
        <v>typeDevelopment:'Bespoke Software Platform',</v>
      </c>
      <c r="L13" t="str">
        <f>CONCATENATE(Sheet3!$A13,Sheet3!M13)</f>
        <v>typeDevelopment:'Other:',</v>
      </c>
      <c r="M13" t="str">
        <f>CONCATENATE(Sheet3!$A13,Sheet3!N13)</f>
        <v>typeDevelopment:'Bespoke Software Platform',</v>
      </c>
      <c r="N13" t="str">
        <f>CONCATENATE(Sheet3!$A13,Sheet3!O13)</f>
        <v>typeDevelopment:'Other:',</v>
      </c>
      <c r="O13" t="str">
        <f>CONCATENATE(Sheet3!$A13,Sheet3!P13)</f>
        <v>typeDevelopment:'Responsive Web Development (HTML5/JSON/REST)',</v>
      </c>
      <c r="P13" t="str">
        <f>CONCATENATE(Sheet3!$A13,Sheet3!Q13)</f>
        <v>typeDevelopment:'Native Mobile Application (iOS)',</v>
      </c>
      <c r="Q13" t="str">
        <f>CONCATENATE(Sheet3!$A13,Sheet3!R13)</f>
        <v>typeDevelopment:'Bespoke Software Platform',</v>
      </c>
      <c r="R13" t="str">
        <f>CONCATENATE(Sheet3!$A13,Sheet3!S13)</f>
        <v>typeDevelopment:'Other:',</v>
      </c>
      <c r="S13" t="str">
        <f>CONCATENATE(Sheet3!$A13,Sheet3!T13)</f>
        <v>typeDevelopment:'Responsive Web Development (HTML5/JSON/REST)',</v>
      </c>
      <c r="T13" t="str">
        <f>CONCATENATE(Sheet3!$A13,Sheet3!U13)</f>
        <v>typeDevelopment:'Native Mobile Application (iOS)',</v>
      </c>
      <c r="U13" t="str">
        <f>CONCATENATE(Sheet3!$A13,Sheet3!V13)</f>
        <v>typeDevelopment:'E-Commerce Web Development',</v>
      </c>
      <c r="V13" t="str">
        <f>CONCATENATE(Sheet3!$A13,Sheet3!W13)</f>
        <v>typeDevelopment:'Database Architecture and Design',</v>
      </c>
    </row>
    <row r="14" spans="1:22">
      <c r="A14" t="str">
        <f>CONCATENATE(Sheet3!$A14,Sheet3!B14)</f>
        <v>technology:'Flask',</v>
      </c>
      <c r="B14" t="str">
        <f>CONCATENATE(Sheet3!$A14,Sheet3!C14)</f>
        <v>technology:'Django',</v>
      </c>
      <c r="C14" t="str">
        <f>CONCATENATE(Sheet3!$A14,Sheet3!D14)</f>
        <v>technology:'NoSQL',</v>
      </c>
      <c r="D14" t="str">
        <f>CONCATENATE(Sheet3!$A14,Sheet3!E14)</f>
        <v>technology:'JavaScript',</v>
      </c>
      <c r="E14" t="str">
        <f>CONCATENATE(Sheet3!$A14,Sheet3!F14)</f>
        <v>technology:'HTML5',</v>
      </c>
      <c r="F14" t="str">
        <f>CONCATENATE(Sheet3!$A14,Sheet3!G14)</f>
        <v>technology:'SQL',</v>
      </c>
      <c r="G14" t="str">
        <f>CONCATENATE(Sheet3!$A14,Sheet3!H14)</f>
        <v>technology:'Flask',</v>
      </c>
      <c r="H14" t="str">
        <f>CONCATENATE(Sheet3!$A14,Sheet3!I14)</f>
        <v>technology:'Django',</v>
      </c>
      <c r="I14" t="str">
        <f>CONCATENATE(Sheet3!$A14,Sheet3!J14)</f>
        <v>technology:'NoSQL',</v>
      </c>
      <c r="J14" t="str">
        <f>CONCATENATE(Sheet3!$A14,Sheet3!K14)</f>
        <v>technology:'Python',</v>
      </c>
      <c r="K14" t="str">
        <f>CONCATENATE(Sheet3!$A14,Sheet3!L14)</f>
        <v>technology:'JavaScript',</v>
      </c>
      <c r="L14" t="str">
        <f>CONCATENATE(Sheet3!$A14,Sheet3!M14)</f>
        <v>technology:'HTML5',</v>
      </c>
      <c r="M14" t="str">
        <f>CONCATENATE(Sheet3!$A14,Sheet3!N14)</f>
        <v>technology:'HTML5',</v>
      </c>
      <c r="N14" t="str">
        <f>CONCATENATE(Sheet3!$A14,Sheet3!O14)</f>
        <v>technology:'HTML5',</v>
      </c>
      <c r="O14" t="str">
        <f>CONCATENATE(Sheet3!$A14,Sheet3!P14)</f>
        <v>technology:'HTML5',</v>
      </c>
      <c r="P14" t="str">
        <f>CONCATENATE(Sheet3!$A14,Sheet3!Q14)</f>
        <v>technology:'HTML5',</v>
      </c>
      <c r="Q14" t="str">
        <f>CONCATENATE(Sheet3!$A14,Sheet3!R14)</f>
        <v>technology:'SQL',</v>
      </c>
      <c r="R14" t="str">
        <f>CONCATENATE(Sheet3!$A14,Sheet3!S14)</f>
        <v>technology:'Flask',</v>
      </c>
      <c r="S14" t="str">
        <f>CONCATENATE(Sheet3!$A14,Sheet3!T14)</f>
        <v>technology:'Django',</v>
      </c>
      <c r="T14" t="str">
        <f>CONCATENATE(Sheet3!$A14,Sheet3!U14)</f>
        <v>technology:'NoSQL',</v>
      </c>
      <c r="U14" t="str">
        <f>CONCATENATE(Sheet3!$A14,Sheet3!V14)</f>
        <v>technology:'Python',</v>
      </c>
      <c r="V14" t="str">
        <f>CONCATENATE(Sheet3!$A14,Sheet3!W14)</f>
        <v>technology:'JavaScript',</v>
      </c>
    </row>
    <row r="15" spans="1:22">
      <c r="A15" t="str">
        <f>CONCATENATE(Sheet3!$A15,Sheet3!B15)</f>
        <v>quoteStatus: "open",</v>
      </c>
      <c r="B15" t="str">
        <f>CONCATENATE(Sheet3!$A15,Sheet3!C15)</f>
        <v>quoteStatus: "closed",</v>
      </c>
      <c r="C15" t="str">
        <f>CONCATENATE(Sheet3!$A15,Sheet3!D15)</f>
        <v>quoteStatus: "pending",</v>
      </c>
      <c r="D15" t="str">
        <f>CONCATENATE(Sheet3!$A15,Sheet3!E15)</f>
        <v>quoteStatus: "open",</v>
      </c>
      <c r="E15" t="str">
        <f>CONCATENATE(Sheet3!$A15,Sheet3!F15)</f>
        <v>quoteStatus: "closed",</v>
      </c>
      <c r="F15" t="str">
        <f>CONCATENATE(Sheet3!$A15,Sheet3!G15)</f>
        <v>quoteStatus: "pending",</v>
      </c>
      <c r="G15" t="str">
        <f>CONCATENATE(Sheet3!$A15,Sheet3!H15)</f>
        <v>quoteStatus: "open",</v>
      </c>
      <c r="H15" t="str">
        <f>CONCATENATE(Sheet3!$A15,Sheet3!I15)</f>
        <v>quoteStatus: "closed",</v>
      </c>
      <c r="I15" t="str">
        <f>CONCATENATE(Sheet3!$A15,Sheet3!J15)</f>
        <v>quoteStatus: "pending",</v>
      </c>
      <c r="J15" t="str">
        <f>CONCATENATE(Sheet3!$A15,Sheet3!K15)</f>
        <v>quoteStatus: "open",</v>
      </c>
      <c r="K15" t="str">
        <f>CONCATENATE(Sheet3!$A15,Sheet3!L15)</f>
        <v>quoteStatus: "closed",</v>
      </c>
      <c r="L15" t="str">
        <f>CONCATENATE(Sheet3!$A15,Sheet3!M15)</f>
        <v>quoteStatus: "pending",</v>
      </c>
      <c r="M15" t="str">
        <f>CONCATENATE(Sheet3!$A15,Sheet3!N15)</f>
        <v>quoteStatus: "pending",</v>
      </c>
      <c r="N15" t="str">
        <f>CONCATENATE(Sheet3!$A15,Sheet3!O15)</f>
        <v>quoteStatus: "pending",</v>
      </c>
      <c r="O15" t="str">
        <f>CONCATENATE(Sheet3!$A15,Sheet3!P15)</f>
        <v>quoteStatus: "pending",</v>
      </c>
      <c r="P15" t="str">
        <f>CONCATENATE(Sheet3!$A15,Sheet3!Q15)</f>
        <v>quoteStatus: "closed",</v>
      </c>
      <c r="Q15" t="str">
        <f>CONCATENATE(Sheet3!$A15,Sheet3!R15)</f>
        <v>quoteStatus: "pending",</v>
      </c>
      <c r="R15" t="str">
        <f>CONCATENATE(Sheet3!$A15,Sheet3!S15)</f>
        <v>quoteStatus: "open",</v>
      </c>
      <c r="S15" t="str">
        <f>CONCATENATE(Sheet3!$A15,Sheet3!T15)</f>
        <v>quoteStatus: "closed",</v>
      </c>
      <c r="T15" t="str">
        <f>CONCATENATE(Sheet3!$A15,Sheet3!U15)</f>
        <v>quoteStatus: "pending",</v>
      </c>
      <c r="U15" t="str">
        <f>CONCATENATE(Sheet3!$A15,Sheet3!V15)</f>
        <v>quoteStatus: "open",</v>
      </c>
      <c r="V15" t="str">
        <f>CONCATENATE(Sheet3!$A15,Sheet3!W15)</f>
        <v>quoteStatus: "closed",</v>
      </c>
    </row>
    <row r="16" spans="1:22">
      <c r="A16" t="str">
        <f>CONCATENATE(Sheet3!$A16,Sheet3!B16)</f>
        <v>quoteDetails: "send me a quote that will meet my requirements",</v>
      </c>
      <c r="B16" t="str">
        <f>CONCATENATE(Sheet3!$A16,Sheet3!C16)</f>
        <v>quoteDetails: "send me a quote that will meet my requirements",</v>
      </c>
      <c r="C16" t="str">
        <f>CONCATENATE(Sheet3!$A16,Sheet3!D16)</f>
        <v>quoteDetails: "send me a quote that will meet my requirements",</v>
      </c>
      <c r="D16" t="str">
        <f>CONCATENATE(Sheet3!$A16,Sheet3!E16)</f>
        <v>quoteDetails: "send me a quote that will meet my requirements",</v>
      </c>
      <c r="E16" t="str">
        <f>CONCATENATE(Sheet3!$A16,Sheet3!F16)</f>
        <v>quoteDetails: "send me a quote that will meet my requirements",</v>
      </c>
      <c r="F16" t="str">
        <f>CONCATENATE(Sheet3!$A16,Sheet3!G16)</f>
        <v>quoteDetails: "send me a quote that will meet my requirements",</v>
      </c>
      <c r="G16" t="str">
        <f>CONCATENATE(Sheet3!$A16,Sheet3!H16)</f>
        <v>quoteDetails: "send me a quote that will meet my requirements",</v>
      </c>
      <c r="H16" t="str">
        <f>CONCATENATE(Sheet3!$A16,Sheet3!I16)</f>
        <v>quoteDetails: "send me a quote that will meet my requirements",</v>
      </c>
      <c r="I16" t="str">
        <f>CONCATENATE(Sheet3!$A16,Sheet3!J16)</f>
        <v>quoteDetails: "send me a quote that will meet my requirements",</v>
      </c>
      <c r="J16" t="str">
        <f>CONCATENATE(Sheet3!$A16,Sheet3!K16)</f>
        <v>quoteDetails: "send me a quote that will meet my requirements",</v>
      </c>
      <c r="K16" t="str">
        <f>CONCATENATE(Sheet3!$A16,Sheet3!L16)</f>
        <v>quoteDetails: "send me a quote that will meet my requirements",</v>
      </c>
      <c r="L16" t="str">
        <f>CONCATENATE(Sheet3!$A16,Sheet3!M16)</f>
        <v>quoteDetails: "send me a quote that will meet my requirements",</v>
      </c>
      <c r="M16" t="str">
        <f>CONCATENATE(Sheet3!$A16,Sheet3!N16)</f>
        <v>quoteDetails: "send me a quote that will meet my requirements",</v>
      </c>
      <c r="N16" t="str">
        <f>CONCATENATE(Sheet3!$A16,Sheet3!O16)</f>
        <v>quoteDetails: "send me a quote that will meet my requirements",</v>
      </c>
      <c r="O16" t="str">
        <f>CONCATENATE(Sheet3!$A16,Sheet3!P16)</f>
        <v>quoteDetails: "send me a quote that will meet my requirements",</v>
      </c>
      <c r="P16" t="str">
        <f>CONCATENATE(Sheet3!$A16,Sheet3!Q16)</f>
        <v>quoteDetails: "send me a quote that will meet my requirements",</v>
      </c>
      <c r="Q16" t="str">
        <f>CONCATENATE(Sheet3!$A16,Sheet3!R16)</f>
        <v>quoteDetails: "send me a quote that will meet my requirements",</v>
      </c>
      <c r="R16" t="str">
        <f>CONCATENATE(Sheet3!$A16,Sheet3!S16)</f>
        <v>quoteDetails: "send me a quote that will meet my requirements",</v>
      </c>
      <c r="S16" t="str">
        <f>CONCATENATE(Sheet3!$A16,Sheet3!T16)</f>
        <v>quoteDetails: "send me a quote that will meet my requirements",</v>
      </c>
      <c r="T16" t="str">
        <f>CONCATENATE(Sheet3!$A16,Sheet3!U16)</f>
        <v>quoteDetails: "send me a quote that will meet my requirements",</v>
      </c>
      <c r="U16" t="str">
        <f>CONCATENATE(Sheet3!$A16,Sheet3!V16)</f>
        <v>quoteDetails: "send me a quote that will meet my requirements",</v>
      </c>
      <c r="V16" t="str">
        <f>CONCATENATE(Sheet3!$A16,Sheet3!W16)</f>
        <v>quoteDetails: "send me a quote that will meet my requirements",</v>
      </c>
    </row>
    <row r="17" spans="1:22">
      <c r="A17" t="str">
        <f>CONCATENATE(Sheet3!$A17,Sheet3!B17)</f>
        <v>quoteResponse: "sending the standard response"</v>
      </c>
      <c r="B17" t="str">
        <f>CONCATENATE(Sheet3!$A17,Sheet3!C17)</f>
        <v>quoteResponse: "sending the standard response"</v>
      </c>
      <c r="C17" t="str">
        <f>CONCATENATE(Sheet3!$A17,Sheet3!D17)</f>
        <v>quoteResponse: "sending the standard response"</v>
      </c>
      <c r="D17" t="str">
        <f>CONCATENATE(Sheet3!$A17,Sheet3!E17)</f>
        <v>quoteResponse: "sending the standard response"</v>
      </c>
      <c r="E17" t="str">
        <f>CONCATENATE(Sheet3!$A17,Sheet3!F17)</f>
        <v>quoteResponse: "sending the standard response"</v>
      </c>
      <c r="F17" t="str">
        <f>CONCATENATE(Sheet3!$A17,Sheet3!G17)</f>
        <v>quoteResponse: "sending the standard response"</v>
      </c>
      <c r="G17" t="str">
        <f>CONCATENATE(Sheet3!$A17,Sheet3!H17)</f>
        <v>quoteResponse: "sending the standard response"</v>
      </c>
      <c r="H17" t="str">
        <f>CONCATENATE(Sheet3!$A17,Sheet3!I17)</f>
        <v>quoteResponse: "sending the standard response"</v>
      </c>
      <c r="I17" t="str">
        <f>CONCATENATE(Sheet3!$A17,Sheet3!J17)</f>
        <v>quoteResponse: "sending the standard response"</v>
      </c>
      <c r="J17" t="str">
        <f>CONCATENATE(Sheet3!$A17,Sheet3!K17)</f>
        <v>quoteResponse: "sending the standard response"</v>
      </c>
      <c r="K17" t="str">
        <f>CONCATENATE(Sheet3!$A17,Sheet3!L17)</f>
        <v>quoteResponse: "sending the standard response"</v>
      </c>
      <c r="L17" t="str">
        <f>CONCATENATE(Sheet3!$A17,Sheet3!M17)</f>
        <v>quoteResponse: "sending the standard response"</v>
      </c>
      <c r="M17" t="str">
        <f>CONCATENATE(Sheet3!$A17,Sheet3!N17)</f>
        <v>quoteResponse: "sending the standard response"</v>
      </c>
      <c r="N17" t="str">
        <f>CONCATENATE(Sheet3!$A17,Sheet3!O17)</f>
        <v>quoteResponse: "sending the standard response"</v>
      </c>
      <c r="O17" t="str">
        <f>CONCATENATE(Sheet3!$A17,Sheet3!P17)</f>
        <v>quoteResponse: "sending the standard response"</v>
      </c>
      <c r="P17" t="str">
        <f>CONCATENATE(Sheet3!$A17,Sheet3!Q17)</f>
        <v>quoteResponse: "sending the standard response"</v>
      </c>
      <c r="Q17" t="str">
        <f>CONCATENATE(Sheet3!$A17,Sheet3!R17)</f>
        <v>quoteResponse: "sending the standard response"</v>
      </c>
      <c r="R17" t="str">
        <f>CONCATENATE(Sheet3!$A17,Sheet3!S17)</f>
        <v>quoteResponse: "sending the standard response"</v>
      </c>
      <c r="S17" t="str">
        <f>CONCATENATE(Sheet3!$A17,Sheet3!T17)</f>
        <v>quoteResponse: "sending the standard response"</v>
      </c>
      <c r="T17" t="str">
        <f>CONCATENATE(Sheet3!$A17,Sheet3!U17)</f>
        <v>quoteResponse: "sending the standard response"</v>
      </c>
      <c r="U17" t="str">
        <f>CONCATENATE(Sheet3!$A17,Sheet3!V17)</f>
        <v>quoteResponse: "sending the standard response"</v>
      </c>
      <c r="V17" t="str">
        <f>CONCATENATE(Sheet3!$A17,Sheet3!W17)</f>
        <v>quoteResponse: "sending the standard response"</v>
      </c>
    </row>
    <row r="18" spans="1:22">
      <c r="A18" t="str">
        <f>Sheet3!D18</f>
        <v>});</v>
      </c>
      <c r="B18" t="str">
        <f>Sheet3!E18</f>
        <v>});</v>
      </c>
      <c r="C18" t="str">
        <f>Sheet3!F18</f>
        <v>});</v>
      </c>
      <c r="D18" t="str">
        <f>Sheet3!G18</f>
        <v>});</v>
      </c>
      <c r="E18" t="str">
        <f>Sheet3!H18</f>
        <v>});</v>
      </c>
      <c r="F18" t="str">
        <f>Sheet3!I18</f>
        <v>});</v>
      </c>
      <c r="G18" t="str">
        <f>Sheet3!J18</f>
        <v>});</v>
      </c>
      <c r="H18" t="str">
        <f>Sheet3!K18</f>
        <v>});</v>
      </c>
      <c r="I18" t="str">
        <f>Sheet3!L18</f>
        <v>});</v>
      </c>
      <c r="J18" t="str">
        <f>Sheet3!M18</f>
        <v>});</v>
      </c>
      <c r="K18" t="str">
        <f>Sheet3!N18</f>
        <v>});</v>
      </c>
      <c r="L18" t="str">
        <f>Sheet3!O18</f>
        <v>});</v>
      </c>
      <c r="M18" t="str">
        <f>Sheet3!P18</f>
        <v>});</v>
      </c>
      <c r="N18" t="str">
        <f>Sheet3!Q18</f>
        <v>});</v>
      </c>
      <c r="O18" t="str">
        <f>Sheet3!R18</f>
        <v>});</v>
      </c>
      <c r="P18" t="str">
        <f>Sheet3!S18</f>
        <v>});</v>
      </c>
      <c r="Q18" t="str">
        <f>Sheet3!T18</f>
        <v>});</v>
      </c>
      <c r="R18" t="str">
        <f>Sheet3!U18</f>
        <v>});</v>
      </c>
      <c r="S18" t="str">
        <f>Sheet3!V18</f>
        <v>});</v>
      </c>
      <c r="T18" t="str">
        <f>Sheet3!W18</f>
        <v>});</v>
      </c>
      <c r="U18" t="str">
        <f>T18</f>
        <v>});</v>
      </c>
      <c r="V18" t="str">
        <f>U18</f>
        <v>});</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44"/>
  <sheetViews>
    <sheetView tabSelected="1" workbookViewId="0">
      <selection sqref="A1:A1048576"/>
    </sheetView>
  </sheetViews>
  <sheetFormatPr baseColWidth="10" defaultRowHeight="15" x14ac:dyDescent="0"/>
  <sheetData>
    <row r="1" spans="1:1">
      <c r="A1" t="str">
        <f>Sheet4!B1</f>
        <v>coll.insert({</v>
      </c>
    </row>
    <row r="2" spans="1:1">
      <c r="A2" t="str">
        <f>Sheet4!B2</f>
        <v>quoteId:'100',</v>
      </c>
    </row>
    <row r="3" spans="1:1">
      <c r="A3" t="str">
        <f>Sheet4!B3</f>
        <v>name: "Mr. Smith",</v>
      </c>
    </row>
    <row r="4" spans="1:1">
      <c r="A4" t="str">
        <f>Sheet4!B4</f>
        <v>email:"random@email.com",</v>
      </c>
    </row>
    <row r="5" spans="1:1">
      <c r="A5" t="str">
        <f>Sheet4!B5</f>
        <v>phone: "0868090777",</v>
      </c>
    </row>
    <row r="6" spans="1:1">
      <c r="A6" t="str">
        <f>Sheet4!B6</f>
        <v>rankQuality:  "Medium",</v>
      </c>
    </row>
    <row r="7" spans="1:1">
      <c r="A7" t="str">
        <f>Sheet4!B7</f>
        <v>rankTime:"Low",</v>
      </c>
    </row>
    <row r="8" spans="1:1">
      <c r="A8" t="str">
        <f>Sheet4!B8</f>
        <v>rankCost: "Medium",</v>
      </c>
    </row>
    <row r="9" spans="1:1">
      <c r="A9" t="str">
        <f>Sheet4!B9</f>
        <v>expectedDate: "01/09/2019",</v>
      </c>
    </row>
    <row r="10" spans="1:1">
      <c r="A10" t="str">
        <f>Sheet4!B10</f>
        <v>liveDate: "01/09/2019",</v>
      </c>
    </row>
    <row r="11" spans="1:1">
      <c r="A11" t="str">
        <f>Sheet4!B11</f>
        <v>budget: "5000",</v>
      </c>
    </row>
    <row r="12" spans="1:1">
      <c r="A12" t="str">
        <f>Sheet4!B12</f>
        <v>brief: "Becoming a fullstack web developer requires you to cover a lot of skills. For beginners it’s often not easy to find the right learning path and to gain quick result. At first sight it might be overwhelming to understand what you need to learn and how everything fits together at the end..",</v>
      </c>
    </row>
    <row r="13" spans="1:1">
      <c r="A13" t="str">
        <f>Sheet4!B13</f>
        <v>typeDevelopment:'Native Mobile Application (iOS)',</v>
      </c>
    </row>
    <row r="14" spans="1:1">
      <c r="A14" t="str">
        <f>Sheet4!B14</f>
        <v>technology:'Django',</v>
      </c>
    </row>
    <row r="15" spans="1:1">
      <c r="A15" t="str">
        <f>Sheet4!B15</f>
        <v>quoteStatus: "closed",</v>
      </c>
    </row>
    <row r="16" spans="1:1">
      <c r="A16" t="str">
        <f>Sheet4!B16</f>
        <v>quoteDetails: "send me a quote that will meet my requirements",</v>
      </c>
    </row>
    <row r="17" spans="1:1">
      <c r="A17" t="str">
        <f>Sheet4!B17</f>
        <v>quoteResponse: "sending the standard response"</v>
      </c>
    </row>
    <row r="18" spans="1:1">
      <c r="A18" t="str">
        <f>Sheet4!B18</f>
        <v>});</v>
      </c>
    </row>
    <row r="19" spans="1:1">
      <c r="A19" t="str">
        <f>Sheet4!C1</f>
        <v>coll.insert({</v>
      </c>
    </row>
    <row r="20" spans="1:1">
      <c r="A20" t="str">
        <f>Sheet4!C2</f>
        <v>quoteId:'102',</v>
      </c>
    </row>
    <row r="21" spans="1:1">
      <c r="A21" t="str">
        <f>Sheet4!C3</f>
        <v>name: "Mr. Ross",</v>
      </c>
    </row>
    <row r="22" spans="1:1">
      <c r="A22" t="str">
        <f>Sheet4!C4</f>
        <v>email:"random@email.com",</v>
      </c>
    </row>
    <row r="23" spans="1:1">
      <c r="A23" t="str">
        <f>Sheet4!C5</f>
        <v>phone: "0868090777",</v>
      </c>
    </row>
    <row r="24" spans="1:1">
      <c r="A24" t="str">
        <f>Sheet4!C6</f>
        <v>rankQuality:  "High",</v>
      </c>
    </row>
    <row r="25" spans="1:1">
      <c r="A25" t="str">
        <f>Sheet4!C7</f>
        <v>rankTime: "Medium",</v>
      </c>
    </row>
    <row r="26" spans="1:1">
      <c r="A26" t="str">
        <f>Sheet4!C8</f>
        <v>rankCost:"Low",</v>
      </c>
    </row>
    <row r="27" spans="1:1">
      <c r="A27" t="str">
        <f>Sheet4!C9</f>
        <v>expectedDate: "01/09/2019",</v>
      </c>
    </row>
    <row r="28" spans="1:1">
      <c r="A28" t="str">
        <f>Sheet4!C10</f>
        <v>liveDate: "01/09/2019",</v>
      </c>
    </row>
    <row r="29" spans="1:1">
      <c r="A29" t="str">
        <f>Sheet4!C11</f>
        <v>budget: "10000",</v>
      </c>
    </row>
    <row r="30" spans="1:1">
      <c r="A30" t="str">
        <f>Sheet4!C12</f>
        <v>brief: "This post will give you an overview of technologies you may consider to learn for being a fullstack developer in 2019 and beyond. We’ll start to take a look at the foundation and programming languages and then move forward to more advanced topics like frameworks and additional tools..",</v>
      </c>
    </row>
    <row r="31" spans="1:1">
      <c r="A31" t="str">
        <f>Sheet4!C13</f>
        <v>typeDevelopment:'E-Commerce Web Development',</v>
      </c>
    </row>
    <row r="32" spans="1:1">
      <c r="A32" t="str">
        <f>Sheet4!C14</f>
        <v>technology:'NoSQL',</v>
      </c>
    </row>
    <row r="33" spans="1:1">
      <c r="A33" t="str">
        <f>Sheet4!C15</f>
        <v>quoteStatus: "pending",</v>
      </c>
    </row>
    <row r="34" spans="1:1">
      <c r="A34" t="str">
        <f>Sheet4!C16</f>
        <v>quoteDetails: "send me a quote that will meet my requirements",</v>
      </c>
    </row>
    <row r="35" spans="1:1">
      <c r="A35" t="str">
        <f>Sheet4!C17</f>
        <v>quoteResponse: "sending the standard response"</v>
      </c>
    </row>
    <row r="36" spans="1:1">
      <c r="A36" t="str">
        <f>Sheet4!C18</f>
        <v>});</v>
      </c>
    </row>
    <row r="37" spans="1:1">
      <c r="A37" t="str">
        <f>Sheet4!D1</f>
        <v>coll.insert({</v>
      </c>
    </row>
    <row r="38" spans="1:1">
      <c r="A38" t="str">
        <f>Sheet4!D2</f>
        <v>quoteId:'103',</v>
      </c>
    </row>
    <row r="39" spans="1:1">
      <c r="A39" t="str">
        <f>Sheet4!D3</f>
        <v>name: "ciaran",</v>
      </c>
    </row>
    <row r="40" spans="1:1">
      <c r="A40" t="str">
        <f>Sheet4!D4</f>
        <v>email:"random@email.com",</v>
      </c>
    </row>
    <row r="41" spans="1:1">
      <c r="A41" t="str">
        <f>Sheet4!D5</f>
        <v>phone: "0868090777",</v>
      </c>
    </row>
    <row r="42" spans="1:1">
      <c r="A42" t="str">
        <f>Sheet4!D6</f>
        <v>rankQuality:  "High",</v>
      </c>
    </row>
    <row r="43" spans="1:1">
      <c r="A43" t="str">
        <f>Sheet4!D7</f>
        <v>rankTime: "High",</v>
      </c>
    </row>
    <row r="44" spans="1:1">
      <c r="A44" t="str">
        <f>Sheet4!D8</f>
        <v>rankCost: "Medium",</v>
      </c>
    </row>
    <row r="45" spans="1:1">
      <c r="A45" t="str">
        <f>Sheet4!D9</f>
        <v>expectedDate: "01/09/2019",</v>
      </c>
    </row>
    <row r="46" spans="1:1">
      <c r="A46" t="str">
        <f>Sheet4!D10</f>
        <v>liveDate: "01/09/2019",</v>
      </c>
    </row>
    <row r="47" spans="1:1">
      <c r="A47" t="str">
        <f>Sheet4!D11</f>
        <v>budget: "4000",</v>
      </c>
    </row>
    <row r="48" spans="1:1">
      <c r="A48" t="str">
        <f>Sheet4!D12</f>
        <v>brief: "This list will provide guidance to find your path through the web development jungle in 2019. Together with a short description of the relevant topics this post contains link to great learning resources so that you can start quickly to expand your skill-set.",</v>
      </c>
    </row>
    <row r="49" spans="1:1">
      <c r="A49" t="str">
        <f>Sheet4!D13</f>
        <v>typeDevelopment:'Database Architecture and Design',</v>
      </c>
    </row>
    <row r="50" spans="1:1">
      <c r="A50" t="str">
        <f>Sheet4!D14</f>
        <v>technology:'JavaScript',</v>
      </c>
    </row>
    <row r="51" spans="1:1">
      <c r="A51" t="str">
        <f>Sheet4!D15</f>
        <v>quoteStatus: "open",</v>
      </c>
    </row>
    <row r="52" spans="1:1">
      <c r="A52" t="str">
        <f>Sheet4!D16</f>
        <v>quoteDetails: "send me a quote that will meet my requirements",</v>
      </c>
    </row>
    <row r="53" spans="1:1">
      <c r="A53" t="str">
        <f>Sheet4!D17</f>
        <v>quoteResponse: "sending the standard response"</v>
      </c>
    </row>
    <row r="54" spans="1:1">
      <c r="A54" t="str">
        <f>Sheet4!D18</f>
        <v>});</v>
      </c>
    </row>
    <row r="55" spans="1:1">
      <c r="A55" t="str">
        <f>Sheet4!E1</f>
        <v>coll.insert({</v>
      </c>
    </row>
    <row r="56" spans="1:1">
      <c r="A56" t="str">
        <f>Sheet4!E2</f>
        <v>quoteId:'104',</v>
      </c>
    </row>
    <row r="57" spans="1:1">
      <c r="A57" t="str">
        <f>Sheet4!E3</f>
        <v>name: "Mr. Smith",</v>
      </c>
    </row>
    <row r="58" spans="1:1">
      <c r="A58" t="str">
        <f>Sheet4!E4</f>
        <v>email:"random@email.com",</v>
      </c>
    </row>
    <row r="59" spans="1:1">
      <c r="A59" t="str">
        <f>Sheet4!E5</f>
        <v>phone: "0868090777",</v>
      </c>
    </row>
    <row r="60" spans="1:1">
      <c r="A60" t="str">
        <f>Sheet4!E6</f>
        <v>rankQuality: "Low",</v>
      </c>
    </row>
    <row r="61" spans="1:1">
      <c r="A61" t="str">
        <f>Sheet4!E7</f>
        <v>rankTime: "Medium",</v>
      </c>
    </row>
    <row r="62" spans="1:1">
      <c r="A62" t="str">
        <f>Sheet4!E8</f>
        <v>rankCost: "High",</v>
      </c>
    </row>
    <row r="63" spans="1:1">
      <c r="A63" t="str">
        <f>Sheet4!E9</f>
        <v>expectedDate: "01/09/2019",</v>
      </c>
    </row>
    <row r="64" spans="1:1">
      <c r="A64" t="str">
        <f>Sheet4!E10</f>
        <v>liveDate: "01/09/2019",</v>
      </c>
    </row>
    <row r="65" spans="1:1">
      <c r="A65" t="str">
        <f>Sheet4!E11</f>
        <v>budget: "5000",</v>
      </c>
    </row>
    <row r="66" spans="1:1">
      <c r="A66" t="str">
        <f>Sheet4!E12</f>
        <v>brief: "this is the detailed brief",</v>
      </c>
    </row>
    <row r="67" spans="1:1">
      <c r="A67" t="str">
        <f>Sheet4!E13</f>
        <v>typeDevelopment:'Bespoke Software Platform',</v>
      </c>
    </row>
    <row r="68" spans="1:1">
      <c r="A68" t="str">
        <f>Sheet4!E14</f>
        <v>technology:'HTML5',</v>
      </c>
    </row>
    <row r="69" spans="1:1">
      <c r="A69" t="str">
        <f>Sheet4!E15</f>
        <v>quoteStatus: "closed",</v>
      </c>
    </row>
    <row r="70" spans="1:1">
      <c r="A70" t="str">
        <f>Sheet4!E16</f>
        <v>quoteDetails: "send me a quote that will meet my requirements",</v>
      </c>
    </row>
    <row r="71" spans="1:1">
      <c r="A71" t="str">
        <f>Sheet4!E17</f>
        <v>quoteResponse: "sending the standard response"</v>
      </c>
    </row>
    <row r="72" spans="1:1">
      <c r="A72" t="str">
        <f>Sheet4!E18</f>
        <v>});</v>
      </c>
    </row>
    <row r="73" spans="1:1">
      <c r="A73" t="str">
        <f>Sheet4!F1</f>
        <v>coll.insert({</v>
      </c>
    </row>
    <row r="74" spans="1:1">
      <c r="A74" t="str">
        <f>Sheet4!F2</f>
        <v>quoteId:'105',</v>
      </c>
    </row>
    <row r="75" spans="1:1">
      <c r="A75" t="str">
        <f>Sheet4!F3</f>
        <v>name: "Mr. Ross",</v>
      </c>
    </row>
    <row r="76" spans="1:1">
      <c r="A76" t="str">
        <f>Sheet4!F4</f>
        <v>email:"random@email.com",</v>
      </c>
    </row>
    <row r="77" spans="1:1">
      <c r="A77" t="str">
        <f>Sheet4!F5</f>
        <v>phone: "0868090777",</v>
      </c>
    </row>
    <row r="78" spans="1:1">
      <c r="A78" t="str">
        <f>Sheet4!F6</f>
        <v>rankQuality:  "Medium",</v>
      </c>
    </row>
    <row r="79" spans="1:1">
      <c r="A79" t="str">
        <f>Sheet4!F7</f>
        <v>rankTime:"Low",</v>
      </c>
    </row>
    <row r="80" spans="1:1">
      <c r="A80" t="str">
        <f>Sheet4!F8</f>
        <v>rankCost: "Medium",</v>
      </c>
    </row>
    <row r="81" spans="1:1">
      <c r="A81" t="str">
        <f>Sheet4!F9</f>
        <v>expectedDate: "01/09/2019",</v>
      </c>
    </row>
    <row r="82" spans="1:1">
      <c r="A82" t="str">
        <f>Sheet4!F10</f>
        <v>liveDate: "01/09/2019",</v>
      </c>
    </row>
    <row r="83" spans="1:1">
      <c r="A83" t="str">
        <f>Sheet4!F11</f>
        <v>budget: "10000",</v>
      </c>
    </row>
    <row r="84" spans="1:1">
      <c r="A84" t="str">
        <f>Sheet4!F12</f>
        <v>brief: "Becoming a fullstack web developer requires you to cover a lot of skills. For beginners it’s often not easy to find the right learning path and to gain quick result. At first sight it might be overwhelming to understand what you need to learn and how everything fits together at the end..",</v>
      </c>
    </row>
    <row r="85" spans="1:1">
      <c r="A85" t="str">
        <f>Sheet4!F13</f>
        <v>typeDevelopment:'Other:',</v>
      </c>
    </row>
    <row r="86" spans="1:1">
      <c r="A86" t="str">
        <f>Sheet4!F14</f>
        <v>technology:'SQL',</v>
      </c>
    </row>
    <row r="87" spans="1:1">
      <c r="A87" t="str">
        <f>Sheet4!F15</f>
        <v>quoteStatus: "pending",</v>
      </c>
    </row>
    <row r="88" spans="1:1">
      <c r="A88" t="str">
        <f>Sheet4!F16</f>
        <v>quoteDetails: "send me a quote that will meet my requirements",</v>
      </c>
    </row>
    <row r="89" spans="1:1">
      <c r="A89" t="str">
        <f>Sheet4!F17</f>
        <v>quoteResponse: "sending the standard response"</v>
      </c>
    </row>
    <row r="90" spans="1:1">
      <c r="A90" t="str">
        <f>Sheet4!F18</f>
        <v>});</v>
      </c>
    </row>
    <row r="91" spans="1:1">
      <c r="A91" t="str">
        <f>Sheet4!G1</f>
        <v>coll.insert({</v>
      </c>
    </row>
    <row r="92" spans="1:1">
      <c r="A92" t="str">
        <f>Sheet4!G2</f>
        <v>quoteId:'106',</v>
      </c>
    </row>
    <row r="93" spans="1:1">
      <c r="A93" t="str">
        <f>Sheet4!G3</f>
        <v>name: "ciaran",</v>
      </c>
    </row>
    <row r="94" spans="1:1">
      <c r="A94" t="str">
        <f>Sheet4!G4</f>
        <v>email:"random@email.com",</v>
      </c>
    </row>
    <row r="95" spans="1:1">
      <c r="A95" t="str">
        <f>Sheet4!G5</f>
        <v>phone: "0868090777",</v>
      </c>
    </row>
    <row r="96" spans="1:1">
      <c r="A96" t="str">
        <f>Sheet4!G6</f>
        <v>rankQuality:  "High",</v>
      </c>
    </row>
    <row r="97" spans="1:1">
      <c r="A97" t="str">
        <f>Sheet4!G7</f>
        <v>rankTime: "Medium",</v>
      </c>
    </row>
    <row r="98" spans="1:1">
      <c r="A98" t="str">
        <f>Sheet4!G8</f>
        <v>rankCost:"Low",</v>
      </c>
    </row>
    <row r="99" spans="1:1">
      <c r="A99" t="str">
        <f>Sheet4!G9</f>
        <v>expectedDate: "01/09/2019",</v>
      </c>
    </row>
    <row r="100" spans="1:1">
      <c r="A100" t="str">
        <f>Sheet4!G10</f>
        <v>liveDate: "01/09/2019",</v>
      </c>
    </row>
    <row r="101" spans="1:1">
      <c r="A101" t="str">
        <f>Sheet4!G11</f>
        <v>budget: "4000",</v>
      </c>
    </row>
    <row r="102" spans="1:1">
      <c r="A102" t="str">
        <f>Sheet4!G12</f>
        <v>brief: "This post will give you an overview of technologies you may consider to learn for being a fullstack developer in 2019 and beyond. We’ll start to take a look at the foundation and programming languages and then move forward to more advanced topics like frameworks and additional tools..",</v>
      </c>
    </row>
    <row r="103" spans="1:1">
      <c r="A103" t="str">
        <f>Sheet4!G13</f>
        <v>typeDevelopment:'Responsive Web Development (HTML5/JSON/REST)',</v>
      </c>
    </row>
    <row r="104" spans="1:1">
      <c r="A104" t="str">
        <f>Sheet4!G14</f>
        <v>technology:'Flask',</v>
      </c>
    </row>
    <row r="105" spans="1:1">
      <c r="A105" t="str">
        <f>Sheet4!G15</f>
        <v>quoteStatus: "open",</v>
      </c>
    </row>
    <row r="106" spans="1:1">
      <c r="A106" t="str">
        <f>Sheet4!G16</f>
        <v>quoteDetails: "send me a quote that will meet my requirements",</v>
      </c>
    </row>
    <row r="107" spans="1:1">
      <c r="A107" t="str">
        <f>Sheet4!G17</f>
        <v>quoteResponse: "sending the standard response"</v>
      </c>
    </row>
    <row r="108" spans="1:1">
      <c r="A108" t="str">
        <f>Sheet4!G18</f>
        <v>});</v>
      </c>
    </row>
    <row r="109" spans="1:1">
      <c r="A109" t="str">
        <f>Sheet4!H1</f>
        <v>coll.insert({</v>
      </c>
    </row>
    <row r="110" spans="1:1">
      <c r="A110" t="str">
        <f>Sheet4!H2</f>
        <v>quoteId:'107',</v>
      </c>
    </row>
    <row r="111" spans="1:1">
      <c r="A111" t="str">
        <f>Sheet4!H3</f>
        <v>name: "Mr. Smith",</v>
      </c>
    </row>
    <row r="112" spans="1:1">
      <c r="A112" t="str">
        <f>Sheet4!H4</f>
        <v>email:"random@email.com",</v>
      </c>
    </row>
    <row r="113" spans="1:1">
      <c r="A113" t="str">
        <f>Sheet4!H5</f>
        <v>phone: "0868090777",</v>
      </c>
    </row>
    <row r="114" spans="1:1">
      <c r="A114" t="str">
        <f>Sheet4!H6</f>
        <v>rankQuality:  "High",</v>
      </c>
    </row>
    <row r="115" spans="1:1">
      <c r="A115" t="str">
        <f>Sheet4!H7</f>
        <v>rankTime: "High",</v>
      </c>
    </row>
    <row r="116" spans="1:1">
      <c r="A116" t="str">
        <f>Sheet4!H8</f>
        <v>rankCost: "Medium",</v>
      </c>
    </row>
    <row r="117" spans="1:1">
      <c r="A117" t="str">
        <f>Sheet4!H9</f>
        <v>expectedDate: "01/09/2019",</v>
      </c>
    </row>
    <row r="118" spans="1:1">
      <c r="A118" t="str">
        <f>Sheet4!H10</f>
        <v>liveDate: "01/09/2019",</v>
      </c>
    </row>
    <row r="119" spans="1:1">
      <c r="A119" t="str">
        <f>Sheet4!H11</f>
        <v>budget: "5000",</v>
      </c>
    </row>
    <row r="120" spans="1:1">
      <c r="A120" t="str">
        <f>Sheet4!H12</f>
        <v>brief: "This list will provide guidance to find your path through the web development jungle in 2019. Together with a short description of the relevant topics this post contains link to great learning resources so that you can start quickly to expand your skill-set.",</v>
      </c>
    </row>
    <row r="121" spans="1:1">
      <c r="A121" t="str">
        <f>Sheet4!H13</f>
        <v>typeDevelopment:'Native Mobile Application (iOS)',</v>
      </c>
    </row>
    <row r="122" spans="1:1">
      <c r="A122" t="str">
        <f>Sheet4!H14</f>
        <v>technology:'Django',</v>
      </c>
    </row>
    <row r="123" spans="1:1">
      <c r="A123" t="str">
        <f>Sheet4!H15</f>
        <v>quoteStatus: "closed",</v>
      </c>
    </row>
    <row r="124" spans="1:1">
      <c r="A124" t="str">
        <f>Sheet4!H16</f>
        <v>quoteDetails: "send me a quote that will meet my requirements",</v>
      </c>
    </row>
    <row r="125" spans="1:1">
      <c r="A125" t="str">
        <f>Sheet4!H17</f>
        <v>quoteResponse: "sending the standard response"</v>
      </c>
    </row>
    <row r="126" spans="1:1">
      <c r="A126" t="str">
        <f>Sheet4!H18</f>
        <v>});</v>
      </c>
    </row>
    <row r="127" spans="1:1">
      <c r="A127" t="str">
        <f>Sheet4!I1</f>
        <v>coll.insert({</v>
      </c>
    </row>
    <row r="128" spans="1:1">
      <c r="A128" t="str">
        <f>Sheet4!I2</f>
        <v>quoteId:'108',</v>
      </c>
    </row>
    <row r="129" spans="1:1">
      <c r="A129" t="str">
        <f>Sheet4!I3</f>
        <v>name: "Mr. Ross",</v>
      </c>
    </row>
    <row r="130" spans="1:1">
      <c r="A130" t="str">
        <f>Sheet4!I4</f>
        <v>email:"random@email.com",</v>
      </c>
    </row>
    <row r="131" spans="1:1">
      <c r="A131" t="str">
        <f>Sheet4!I5</f>
        <v>phone: "0868090777",</v>
      </c>
    </row>
    <row r="132" spans="1:1">
      <c r="A132" t="str">
        <f>Sheet4!I6</f>
        <v>rankQuality: "Low",</v>
      </c>
    </row>
    <row r="133" spans="1:1">
      <c r="A133" t="str">
        <f>Sheet4!I7</f>
        <v>rankTime:"Low",</v>
      </c>
    </row>
    <row r="134" spans="1:1">
      <c r="A134" t="str">
        <f>Sheet4!I8</f>
        <v>rankCost: "High",</v>
      </c>
    </row>
    <row r="135" spans="1:1">
      <c r="A135" t="str">
        <f>Sheet4!I9</f>
        <v>expectedDate: "01/09/2019",</v>
      </c>
    </row>
    <row r="136" spans="1:1">
      <c r="A136" t="str">
        <f>Sheet4!I10</f>
        <v>liveDate: "01/09/2019",</v>
      </c>
    </row>
    <row r="137" spans="1:1">
      <c r="A137" t="str">
        <f>Sheet4!I11</f>
        <v>budget: "10000",</v>
      </c>
    </row>
    <row r="138" spans="1:1">
      <c r="A138" t="str">
        <f>Sheet4!I12</f>
        <v>brief: "this is the detailed brief",</v>
      </c>
    </row>
    <row r="139" spans="1:1">
      <c r="A139" t="str">
        <f>Sheet4!I13</f>
        <v>typeDevelopment:'E-Commerce Web Development',</v>
      </c>
    </row>
    <row r="140" spans="1:1">
      <c r="A140" t="str">
        <f>Sheet4!I14</f>
        <v>technology:'NoSQL',</v>
      </c>
    </row>
    <row r="141" spans="1:1">
      <c r="A141" t="str">
        <f>Sheet4!I15</f>
        <v>quoteStatus: "pending",</v>
      </c>
    </row>
    <row r="142" spans="1:1">
      <c r="A142" t="str">
        <f>Sheet4!I16</f>
        <v>quoteDetails: "send me a quote that will meet my requirements",</v>
      </c>
    </row>
    <row r="143" spans="1:1">
      <c r="A143" t="str">
        <f>Sheet4!I17</f>
        <v>quoteResponse: "sending the standard response"</v>
      </c>
    </row>
    <row r="144" spans="1:1">
      <c r="A144" t="str">
        <f>Sheet4!I18</f>
        <v>});</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Sheet1</vt:lpstr>
      <vt:lpstr>Sheet2</vt:lpstr>
      <vt:lpstr>Sheet3</vt:lpstr>
      <vt:lpstr>Sheet4</vt:lpstr>
      <vt:lpstr>Sheet6</vt:lpstr>
    </vt:vector>
  </TitlesOfParts>
  <Company>WHP</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Ciaran Quinlan</dc:creator>
  <cp:lastModifiedBy>Ciaran Quinlan</cp:lastModifiedBy>
  <dcterms:created xsi:type="dcterms:W3CDTF">2019-07-19T08:29:15Z</dcterms:created>
  <dcterms:modified xsi:type="dcterms:W3CDTF">2019-07-22T12:52:21Z</dcterms:modified>
</cp:coreProperties>
</file>